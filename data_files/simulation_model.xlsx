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subham.sinha\Documents\Delivery\"/>
    </mc:Choice>
  </mc:AlternateContent>
  <bookViews>
    <workbookView xWindow="0" yWindow="0" windowWidth="11420" windowHeight="7080" activeTab="1"/>
  </bookViews>
  <sheets>
    <sheet name="OUTCOME MODEL" sheetId="1" r:id="rId1"/>
    <sheet name="OUTCOME (DB Table)" sheetId="2" r:id="rId2"/>
  </sheets>
  <definedNames>
    <definedName name="_xlnm._FilterDatabase" localSheetId="0" hidden="1">'OUTCOME MODEL'!$A$9:$Z$87</definedName>
  </definedName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2" i="2" l="1" a="1"/>
  <c r="F82" i="2" s="1"/>
  <c r="F83" i="2" a="1"/>
  <c r="F83" i="2" s="1"/>
  <c r="F84" i="2" a="1"/>
  <c r="F84" i="2" s="1"/>
  <c r="F85" i="2" a="1"/>
  <c r="F85" i="2" s="1"/>
  <c r="F86" i="2" a="1"/>
  <c r="F86" i="2" s="1"/>
  <c r="F87" i="2" a="1"/>
  <c r="F87" i="2" s="1"/>
  <c r="F88" i="2" a="1"/>
  <c r="F88" i="2" s="1"/>
  <c r="F89" i="2" a="1"/>
  <c r="F89" i="2" s="1"/>
  <c r="F90" i="2" a="1"/>
  <c r="F90" i="2" s="1"/>
  <c r="F91" i="2" a="1"/>
  <c r="F91" i="2" s="1"/>
  <c r="F92" i="2" a="1"/>
  <c r="F92" i="2" s="1"/>
  <c r="F93" i="2" a="1"/>
  <c r="F93" i="2" s="1"/>
  <c r="F94" i="2" a="1"/>
  <c r="F94" i="2" s="1"/>
  <c r="F160" i="2" a="1"/>
  <c r="F160" i="2" s="1"/>
  <c r="F161" i="2" a="1"/>
  <c r="F161" i="2" s="1"/>
  <c r="F162" i="2" a="1"/>
  <c r="F162" i="2" s="1"/>
  <c r="F163" i="2" a="1"/>
  <c r="F163" i="2" s="1"/>
  <c r="F164" i="2" a="1"/>
  <c r="F164" i="2" s="1"/>
  <c r="F165" i="2" a="1"/>
  <c r="F165" i="2" s="1"/>
  <c r="F166" i="2" a="1"/>
  <c r="F166" i="2" s="1"/>
  <c r="F167" i="2" a="1"/>
  <c r="F167" i="2" s="1"/>
  <c r="F168" i="2" a="1"/>
  <c r="F168" i="2" s="1"/>
  <c r="F169" i="2" a="1"/>
  <c r="F169" i="2" s="1"/>
  <c r="F170" i="2" a="1"/>
  <c r="F170" i="2" s="1"/>
  <c r="F171" i="2" a="1"/>
  <c r="F171" i="2" s="1"/>
  <c r="F172" i="2" a="1"/>
  <c r="F172" i="2" s="1"/>
  <c r="F238" i="2" a="1"/>
  <c r="F238" i="2" s="1"/>
  <c r="F239" i="2" a="1"/>
  <c r="F239" i="2" s="1"/>
  <c r="F240" i="2" a="1"/>
  <c r="F240" i="2" s="1"/>
  <c r="F241" i="2" a="1"/>
  <c r="F241" i="2" s="1"/>
  <c r="F242" i="2" a="1"/>
  <c r="F242" i="2" s="1"/>
  <c r="F243" i="2" a="1"/>
  <c r="F243" i="2" s="1"/>
  <c r="F244" i="2" a="1"/>
  <c r="F244" i="2" s="1"/>
  <c r="F245" i="2" a="1"/>
  <c r="F245" i="2" s="1"/>
  <c r="F246" i="2" a="1"/>
  <c r="F246" i="2" s="1"/>
  <c r="F247" i="2" a="1"/>
  <c r="F247" i="2" s="1"/>
  <c r="F248" i="2" a="1"/>
  <c r="F248" i="2" s="1"/>
  <c r="F249" i="2" a="1"/>
  <c r="F249" i="2" s="1"/>
  <c r="F250" i="2" a="1"/>
  <c r="F250" i="2" s="1"/>
  <c r="F316" i="2" a="1"/>
  <c r="F316" i="2" s="1"/>
  <c r="F317" i="2" a="1"/>
  <c r="F317" i="2" s="1"/>
  <c r="F318" i="2" a="1"/>
  <c r="F318" i="2" s="1"/>
  <c r="F319" i="2" a="1"/>
  <c r="F319" i="2" s="1"/>
  <c r="F320" i="2" a="1"/>
  <c r="F320" i="2" s="1"/>
  <c r="F321" i="2" a="1"/>
  <c r="F321" i="2" s="1"/>
  <c r="F322" i="2" a="1"/>
  <c r="F322" i="2" s="1"/>
  <c r="F323" i="2" a="1"/>
  <c r="F323" i="2" s="1"/>
  <c r="F324" i="2" a="1"/>
  <c r="F324" i="2" s="1"/>
  <c r="F325" i="2" a="1"/>
  <c r="F325" i="2" s="1"/>
  <c r="F326" i="2" a="1"/>
  <c r="F326" i="2" s="1"/>
  <c r="F327" i="2" a="1"/>
  <c r="F327" i="2" s="1"/>
  <c r="F328" i="2" a="1"/>
  <c r="F328" i="2" s="1"/>
  <c r="F394" i="2" a="1"/>
  <c r="F394" i="2" s="1"/>
  <c r="F395" i="2" a="1"/>
  <c r="F395" i="2" s="1"/>
  <c r="F396" i="2" a="1"/>
  <c r="F396" i="2" s="1"/>
  <c r="F397" i="2" a="1"/>
  <c r="F397" i="2" s="1"/>
  <c r="F398" i="2" a="1"/>
  <c r="F398" i="2" s="1"/>
  <c r="F399" i="2" a="1"/>
  <c r="F399" i="2" s="1"/>
  <c r="F400" i="2" a="1"/>
  <c r="F400" i="2" s="1"/>
  <c r="F401" i="2" a="1"/>
  <c r="F401" i="2" s="1"/>
  <c r="F402" i="2" a="1"/>
  <c r="F402" i="2" s="1"/>
  <c r="F403" i="2" a="1"/>
  <c r="F403" i="2" s="1"/>
  <c r="F404" i="2" a="1"/>
  <c r="F404" i="2" s="1"/>
  <c r="F405" i="2" a="1"/>
  <c r="F405" i="2" s="1"/>
  <c r="F406" i="2" a="1"/>
  <c r="F406" i="2" s="1"/>
  <c r="F95" i="2" a="1"/>
  <c r="F95" i="2" s="1"/>
  <c r="F96" i="2" a="1"/>
  <c r="F96" i="2" s="1"/>
  <c r="F97" i="2" a="1"/>
  <c r="F97" i="2" s="1"/>
  <c r="F98" i="2" a="1"/>
  <c r="F98" i="2" s="1"/>
  <c r="F99" i="2" a="1"/>
  <c r="F99" i="2" s="1"/>
  <c r="F100" i="2" a="1"/>
  <c r="F100" i="2" s="1"/>
  <c r="F101" i="2" a="1"/>
  <c r="F101" i="2" s="1"/>
  <c r="F102" i="2" a="1"/>
  <c r="F102" i="2" s="1"/>
  <c r="F103" i="2" a="1"/>
  <c r="F103" i="2" s="1"/>
  <c r="F104" i="2" a="1"/>
  <c r="F104" i="2" s="1"/>
  <c r="F105" i="2" a="1"/>
  <c r="F105" i="2" s="1"/>
  <c r="F106" i="2" a="1"/>
  <c r="F106" i="2" s="1"/>
  <c r="F107" i="2" a="1"/>
  <c r="F107" i="2" s="1"/>
  <c r="F173" i="2" a="1"/>
  <c r="F173" i="2" s="1"/>
  <c r="F174" i="2" a="1"/>
  <c r="F174" i="2" s="1"/>
  <c r="F175" i="2" a="1"/>
  <c r="F175" i="2" s="1"/>
  <c r="F176" i="2" a="1"/>
  <c r="F176" i="2" s="1"/>
  <c r="F177" i="2" a="1"/>
  <c r="F177" i="2" s="1"/>
  <c r="F178" i="2" a="1"/>
  <c r="F178" i="2" s="1"/>
  <c r="F179" i="2" a="1"/>
  <c r="F179" i="2" s="1"/>
  <c r="F180" i="2" a="1"/>
  <c r="F180" i="2" s="1"/>
  <c r="F181" i="2" a="1"/>
  <c r="F181" i="2" s="1"/>
  <c r="F182" i="2" a="1"/>
  <c r="F182" i="2" s="1"/>
  <c r="F183" i="2" a="1"/>
  <c r="F183" i="2" s="1"/>
  <c r="F184" i="2" a="1"/>
  <c r="F184" i="2" s="1"/>
  <c r="F185" i="2" a="1"/>
  <c r="F185" i="2" s="1"/>
  <c r="F251" i="2" a="1"/>
  <c r="F251" i="2" s="1"/>
  <c r="F252" i="2" a="1"/>
  <c r="F252" i="2" s="1"/>
  <c r="F253" i="2" a="1"/>
  <c r="F253" i="2" s="1"/>
  <c r="F254" i="2" a="1"/>
  <c r="F254" i="2" s="1"/>
  <c r="F255" i="2" a="1"/>
  <c r="F255" i="2" s="1"/>
  <c r="F256" i="2" a="1"/>
  <c r="F256" i="2" s="1"/>
  <c r="F257" i="2" a="1"/>
  <c r="F257" i="2" s="1"/>
  <c r="F258" i="2" a="1"/>
  <c r="F258" i="2" s="1"/>
  <c r="F259" i="2" a="1"/>
  <c r="F259" i="2" s="1"/>
  <c r="F260" i="2" a="1"/>
  <c r="F260" i="2" s="1"/>
  <c r="F261" i="2" a="1"/>
  <c r="F261" i="2" s="1"/>
  <c r="F262" i="2" a="1"/>
  <c r="F262" i="2" s="1"/>
  <c r="F263" i="2" a="1"/>
  <c r="F263" i="2" s="1"/>
  <c r="F329" i="2" a="1"/>
  <c r="F329" i="2" s="1"/>
  <c r="F330" i="2" a="1"/>
  <c r="F330" i="2" s="1"/>
  <c r="F331" i="2" a="1"/>
  <c r="F331" i="2" s="1"/>
  <c r="F332" i="2" a="1"/>
  <c r="F332" i="2" s="1"/>
  <c r="F333" i="2" a="1"/>
  <c r="F333" i="2" s="1"/>
  <c r="F334" i="2" a="1"/>
  <c r="F334" i="2" s="1"/>
  <c r="F335" i="2" a="1"/>
  <c r="F335" i="2" s="1"/>
  <c r="F336" i="2" a="1"/>
  <c r="F336" i="2" s="1"/>
  <c r="F337" i="2" a="1"/>
  <c r="F337" i="2" s="1"/>
  <c r="F338" i="2" a="1"/>
  <c r="F338" i="2" s="1"/>
  <c r="F339" i="2" a="1"/>
  <c r="F339" i="2" s="1"/>
  <c r="F340" i="2" a="1"/>
  <c r="F340" i="2" s="1"/>
  <c r="F341" i="2" a="1"/>
  <c r="F341" i="2" s="1"/>
  <c r="F407" i="2" a="1"/>
  <c r="F407" i="2" s="1"/>
  <c r="F408" i="2" a="1"/>
  <c r="F408" i="2" s="1"/>
  <c r="F409" i="2" a="1"/>
  <c r="F409" i="2" s="1"/>
  <c r="F410" i="2" a="1"/>
  <c r="F410" i="2" s="1"/>
  <c r="F411" i="2" a="1"/>
  <c r="F411" i="2" s="1"/>
  <c r="F412" i="2" a="1"/>
  <c r="F412" i="2" s="1"/>
  <c r="F413" i="2" a="1"/>
  <c r="F413" i="2" s="1"/>
  <c r="F414" i="2" a="1"/>
  <c r="F414" i="2" s="1"/>
  <c r="F415" i="2" a="1"/>
  <c r="F415" i="2" s="1"/>
  <c r="F416" i="2" a="1"/>
  <c r="F416" i="2" s="1"/>
  <c r="F417" i="2" a="1"/>
  <c r="F417" i="2" s="1"/>
  <c r="F418" i="2" a="1"/>
  <c r="F418" i="2" s="1"/>
  <c r="F419" i="2" a="1"/>
  <c r="F419" i="2" s="1"/>
  <c r="F108" i="2" a="1"/>
  <c r="F108" i="2" s="1"/>
  <c r="F109" i="2" a="1"/>
  <c r="F109" i="2" s="1"/>
  <c r="F110" i="2" a="1"/>
  <c r="F110" i="2" s="1"/>
  <c r="F111" i="2" a="1"/>
  <c r="F111" i="2" s="1"/>
  <c r="F112" i="2" a="1"/>
  <c r="F112" i="2" s="1"/>
  <c r="F113" i="2" a="1"/>
  <c r="F113" i="2" s="1"/>
  <c r="F114" i="2" a="1"/>
  <c r="F114" i="2" s="1"/>
  <c r="F115" i="2" a="1"/>
  <c r="F115" i="2" s="1"/>
  <c r="F116" i="2" a="1"/>
  <c r="F116" i="2" s="1"/>
  <c r="F117" i="2" a="1"/>
  <c r="F117" i="2" s="1"/>
  <c r="F118" i="2" a="1"/>
  <c r="F118" i="2" s="1"/>
  <c r="F119" i="2" a="1"/>
  <c r="F119" i="2" s="1"/>
  <c r="F120" i="2" a="1"/>
  <c r="F120" i="2" s="1"/>
  <c r="F186" i="2" a="1"/>
  <c r="F186" i="2" s="1"/>
  <c r="F187" i="2" a="1"/>
  <c r="F187" i="2" s="1"/>
  <c r="F188" i="2" a="1"/>
  <c r="F188" i="2" s="1"/>
  <c r="F189" i="2" a="1"/>
  <c r="F189" i="2" s="1"/>
  <c r="F190" i="2" a="1"/>
  <c r="F190" i="2" s="1"/>
  <c r="F191" i="2" a="1"/>
  <c r="F191" i="2" s="1"/>
  <c r="F192" i="2" a="1"/>
  <c r="F192" i="2" s="1"/>
  <c r="F193" i="2" a="1"/>
  <c r="F193" i="2" s="1"/>
  <c r="F194" i="2" a="1"/>
  <c r="F194" i="2" s="1"/>
  <c r="F195" i="2" a="1"/>
  <c r="F195" i="2" s="1"/>
  <c r="F196" i="2" a="1"/>
  <c r="F196" i="2" s="1"/>
  <c r="F197" i="2" a="1"/>
  <c r="F197" i="2" s="1"/>
  <c r="F198" i="2" a="1"/>
  <c r="F198" i="2" s="1"/>
  <c r="F264" i="2" a="1"/>
  <c r="F264" i="2" s="1"/>
  <c r="F265" i="2" a="1"/>
  <c r="F265" i="2" s="1"/>
  <c r="F266" i="2" a="1"/>
  <c r="F266" i="2" s="1"/>
  <c r="F267" i="2" a="1"/>
  <c r="F267" i="2" s="1"/>
  <c r="F268" i="2" a="1"/>
  <c r="F268" i="2" s="1"/>
  <c r="F269" i="2" a="1"/>
  <c r="F269" i="2" s="1"/>
  <c r="F270" i="2" a="1"/>
  <c r="F270" i="2" s="1"/>
  <c r="F271" i="2" a="1"/>
  <c r="F271" i="2" s="1"/>
  <c r="F272" i="2" a="1"/>
  <c r="F272" i="2" s="1"/>
  <c r="F273" i="2" a="1"/>
  <c r="F273" i="2" s="1"/>
  <c r="F274" i="2" a="1"/>
  <c r="F274" i="2" s="1"/>
  <c r="F275" i="2" a="1"/>
  <c r="F275" i="2" s="1"/>
  <c r="F276" i="2" a="1"/>
  <c r="F276" i="2" s="1"/>
  <c r="F342" i="2" a="1"/>
  <c r="F342" i="2" s="1"/>
  <c r="F343" i="2" a="1"/>
  <c r="F343" i="2" s="1"/>
  <c r="F344" i="2" a="1"/>
  <c r="F344" i="2" s="1"/>
  <c r="F345" i="2" a="1"/>
  <c r="F345" i="2" s="1"/>
  <c r="F346" i="2" a="1"/>
  <c r="F346" i="2" s="1"/>
  <c r="F347" i="2" a="1"/>
  <c r="F347" i="2" s="1"/>
  <c r="F348" i="2" a="1"/>
  <c r="F348" i="2" s="1"/>
  <c r="F349" i="2" a="1"/>
  <c r="F349" i="2" s="1"/>
  <c r="F350" i="2" a="1"/>
  <c r="F350" i="2" s="1"/>
  <c r="F351" i="2" a="1"/>
  <c r="F351" i="2" s="1"/>
  <c r="F352" i="2" a="1"/>
  <c r="F352" i="2" s="1"/>
  <c r="F353" i="2" a="1"/>
  <c r="F353" i="2" s="1"/>
  <c r="F354" i="2" a="1"/>
  <c r="F354" i="2" s="1"/>
  <c r="F420" i="2" a="1"/>
  <c r="F420" i="2" s="1"/>
  <c r="F421" i="2" a="1"/>
  <c r="F421" i="2" s="1"/>
  <c r="F422" i="2" a="1"/>
  <c r="F422" i="2" s="1"/>
  <c r="F423" i="2" a="1"/>
  <c r="F423" i="2" s="1"/>
  <c r="F424" i="2" a="1"/>
  <c r="F424" i="2" s="1"/>
  <c r="F425" i="2" a="1"/>
  <c r="F425" i="2" s="1"/>
  <c r="F426" i="2" a="1"/>
  <c r="F426" i="2" s="1"/>
  <c r="F427" i="2" a="1"/>
  <c r="F427" i="2" s="1"/>
  <c r="F428" i="2" a="1"/>
  <c r="F428" i="2" s="1"/>
  <c r="F429" i="2" a="1"/>
  <c r="F429" i="2" s="1"/>
  <c r="F430" i="2" a="1"/>
  <c r="F430" i="2" s="1"/>
  <c r="F431" i="2" a="1"/>
  <c r="F431" i="2" s="1"/>
  <c r="F432" i="2" a="1"/>
  <c r="F432" i="2" s="1"/>
  <c r="F121" i="2" a="1"/>
  <c r="F121" i="2" s="1"/>
  <c r="F122" i="2" a="1"/>
  <c r="F122" i="2" s="1"/>
  <c r="F123" i="2" a="1"/>
  <c r="F123" i="2" s="1"/>
  <c r="F124" i="2" a="1"/>
  <c r="F124" i="2" s="1"/>
  <c r="F125" i="2" a="1"/>
  <c r="F125" i="2" s="1"/>
  <c r="F126" i="2" a="1"/>
  <c r="F126" i="2" s="1"/>
  <c r="F127" i="2" a="1"/>
  <c r="F127" i="2" s="1"/>
  <c r="F128" i="2" a="1"/>
  <c r="F128" i="2" s="1"/>
  <c r="F129" i="2" a="1"/>
  <c r="F129" i="2" s="1"/>
  <c r="F130" i="2" a="1"/>
  <c r="F130" i="2" s="1"/>
  <c r="F131" i="2" a="1"/>
  <c r="F131" i="2" s="1"/>
  <c r="F132" i="2" a="1"/>
  <c r="F132" i="2" s="1"/>
  <c r="F133" i="2" a="1"/>
  <c r="F133" i="2" s="1"/>
  <c r="F199" i="2" a="1"/>
  <c r="F199" i="2" s="1"/>
  <c r="F200" i="2" a="1"/>
  <c r="F200" i="2" s="1"/>
  <c r="F201" i="2" a="1"/>
  <c r="F201" i="2" s="1"/>
  <c r="F202" i="2" a="1"/>
  <c r="F202" i="2" s="1"/>
  <c r="F203" i="2" a="1"/>
  <c r="F203" i="2" s="1"/>
  <c r="F204" i="2" a="1"/>
  <c r="F204" i="2" s="1"/>
  <c r="F205" i="2" a="1"/>
  <c r="F205" i="2" s="1"/>
  <c r="F206" i="2" a="1"/>
  <c r="F206" i="2" s="1"/>
  <c r="F207" i="2" a="1"/>
  <c r="F207" i="2" s="1"/>
  <c r="F208" i="2" a="1"/>
  <c r="F208" i="2" s="1"/>
  <c r="F209" i="2" a="1"/>
  <c r="F209" i="2" s="1"/>
  <c r="F210" i="2" a="1"/>
  <c r="F210" i="2" s="1"/>
  <c r="F211" i="2" a="1"/>
  <c r="F211" i="2" s="1"/>
  <c r="F277" i="2" a="1"/>
  <c r="F277" i="2" s="1"/>
  <c r="F278" i="2" a="1"/>
  <c r="F278" i="2" s="1"/>
  <c r="F279" i="2" a="1"/>
  <c r="F279" i="2" s="1"/>
  <c r="F280" i="2" a="1"/>
  <c r="F280" i="2" s="1"/>
  <c r="F281" i="2" a="1"/>
  <c r="F281" i="2" s="1"/>
  <c r="F282" i="2" a="1"/>
  <c r="F282" i="2" s="1"/>
  <c r="F283" i="2" a="1"/>
  <c r="F283" i="2" s="1"/>
  <c r="F284" i="2" a="1"/>
  <c r="F284" i="2" s="1"/>
  <c r="F285" i="2" a="1"/>
  <c r="F285" i="2" s="1"/>
  <c r="F286" i="2" a="1"/>
  <c r="F286" i="2" s="1"/>
  <c r="F287" i="2" a="1"/>
  <c r="F287" i="2" s="1"/>
  <c r="F288" i="2" a="1"/>
  <c r="F288" i="2" s="1"/>
  <c r="F289" i="2" a="1"/>
  <c r="F289" i="2" s="1"/>
  <c r="F355" i="2" a="1"/>
  <c r="F355" i="2" s="1"/>
  <c r="F356" i="2" a="1"/>
  <c r="F356" i="2" s="1"/>
  <c r="F357" i="2" a="1"/>
  <c r="F357" i="2" s="1"/>
  <c r="F358" i="2" a="1"/>
  <c r="F358" i="2" s="1"/>
  <c r="F359" i="2" a="1"/>
  <c r="F359" i="2" s="1"/>
  <c r="F360" i="2" a="1"/>
  <c r="F360" i="2" s="1"/>
  <c r="F361" i="2" a="1"/>
  <c r="F361" i="2" s="1"/>
  <c r="F362" i="2" a="1"/>
  <c r="F362" i="2" s="1"/>
  <c r="F363" i="2" a="1"/>
  <c r="F363" i="2" s="1"/>
  <c r="F364" i="2" a="1"/>
  <c r="F364" i="2" s="1"/>
  <c r="F365" i="2" a="1"/>
  <c r="F365" i="2" s="1"/>
  <c r="F366" i="2" a="1"/>
  <c r="F366" i="2" s="1"/>
  <c r="F367" i="2" a="1"/>
  <c r="F367" i="2" s="1"/>
  <c r="F433" i="2" a="1"/>
  <c r="F433" i="2" s="1"/>
  <c r="F434" i="2" a="1"/>
  <c r="F434" i="2" s="1"/>
  <c r="F435" i="2" a="1"/>
  <c r="F435" i="2" s="1"/>
  <c r="F436" i="2" a="1"/>
  <c r="F436" i="2" s="1"/>
  <c r="F437" i="2" a="1"/>
  <c r="F437" i="2" s="1"/>
  <c r="F438" i="2" a="1"/>
  <c r="F438" i="2" s="1"/>
  <c r="F439" i="2" a="1"/>
  <c r="F439" i="2" s="1"/>
  <c r="F440" i="2" a="1"/>
  <c r="F440" i="2" s="1"/>
  <c r="F441" i="2" a="1"/>
  <c r="F441" i="2" s="1"/>
  <c r="F442" i="2" a="1"/>
  <c r="F442" i="2" s="1"/>
  <c r="F443" i="2" a="1"/>
  <c r="F443" i="2" s="1"/>
  <c r="F444" i="2" a="1"/>
  <c r="F444" i="2" s="1"/>
  <c r="F445" i="2" a="1"/>
  <c r="F445" i="2" s="1"/>
  <c r="F134" i="2" a="1"/>
  <c r="F134" i="2" s="1"/>
  <c r="F135" i="2" a="1"/>
  <c r="F135" i="2" s="1"/>
  <c r="F136" i="2" a="1"/>
  <c r="F136" i="2" s="1"/>
  <c r="F137" i="2" a="1"/>
  <c r="F137" i="2" s="1"/>
  <c r="F138" i="2" a="1"/>
  <c r="F138" i="2" s="1"/>
  <c r="F139" i="2" a="1"/>
  <c r="F139" i="2" s="1"/>
  <c r="F140" i="2" a="1"/>
  <c r="F140" i="2" s="1"/>
  <c r="F141" i="2" a="1"/>
  <c r="F141" i="2" s="1"/>
  <c r="F142" i="2" a="1"/>
  <c r="F142" i="2" s="1"/>
  <c r="F143" i="2" a="1"/>
  <c r="F143" i="2" s="1"/>
  <c r="F144" i="2" a="1"/>
  <c r="F144" i="2" s="1"/>
  <c r="F145" i="2" a="1"/>
  <c r="F145" i="2" s="1"/>
  <c r="F146" i="2" a="1"/>
  <c r="F146" i="2" s="1"/>
  <c r="F212" i="2" a="1"/>
  <c r="F212" i="2" s="1"/>
  <c r="F213" i="2" a="1"/>
  <c r="F213" i="2" s="1"/>
  <c r="F214" i="2" a="1"/>
  <c r="F214" i="2" s="1"/>
  <c r="F215" i="2" a="1"/>
  <c r="F215" i="2" s="1"/>
  <c r="F216" i="2" a="1"/>
  <c r="F216" i="2" s="1"/>
  <c r="F217" i="2" a="1"/>
  <c r="F217" i="2" s="1"/>
  <c r="F218" i="2" a="1"/>
  <c r="F218" i="2" s="1"/>
  <c r="F219" i="2" a="1"/>
  <c r="F219" i="2" s="1"/>
  <c r="F220" i="2" a="1"/>
  <c r="F220" i="2" s="1"/>
  <c r="F221" i="2" a="1"/>
  <c r="F221" i="2" s="1"/>
  <c r="F222" i="2" a="1"/>
  <c r="F222" i="2" s="1"/>
  <c r="F223" i="2" a="1"/>
  <c r="F223" i="2" s="1"/>
  <c r="F224" i="2" a="1"/>
  <c r="F224" i="2" s="1"/>
  <c r="F290" i="2" a="1"/>
  <c r="F290" i="2" s="1"/>
  <c r="F291" i="2" a="1"/>
  <c r="F291" i="2" s="1"/>
  <c r="F292" i="2" a="1"/>
  <c r="F292" i="2" s="1"/>
  <c r="F293" i="2" a="1"/>
  <c r="F293" i="2" s="1"/>
  <c r="F294" i="2" a="1"/>
  <c r="F294" i="2" s="1"/>
  <c r="F295" i="2" a="1"/>
  <c r="F295" i="2" s="1"/>
  <c r="F296" i="2" a="1"/>
  <c r="F296" i="2" s="1"/>
  <c r="F297" i="2" a="1"/>
  <c r="F297" i="2" s="1"/>
  <c r="F298" i="2" a="1"/>
  <c r="F298" i="2" s="1"/>
  <c r="F299" i="2" a="1"/>
  <c r="F299" i="2" s="1"/>
  <c r="F300" i="2" a="1"/>
  <c r="F300" i="2" s="1"/>
  <c r="F301" i="2" a="1"/>
  <c r="F301" i="2" s="1"/>
  <c r="F302" i="2" a="1"/>
  <c r="F302" i="2" s="1"/>
  <c r="F368" i="2" a="1"/>
  <c r="F368" i="2" s="1"/>
  <c r="F369" i="2" a="1"/>
  <c r="F369" i="2" s="1"/>
  <c r="F370" i="2" a="1"/>
  <c r="F370" i="2" s="1"/>
  <c r="F371" i="2" a="1"/>
  <c r="F371" i="2" s="1"/>
  <c r="F372" i="2" a="1"/>
  <c r="F372" i="2" s="1"/>
  <c r="F373" i="2" a="1"/>
  <c r="F373" i="2" s="1"/>
  <c r="F374" i="2" a="1"/>
  <c r="F374" i="2" s="1"/>
  <c r="F375" i="2" a="1"/>
  <c r="F375" i="2" s="1"/>
  <c r="F376" i="2" a="1"/>
  <c r="F376" i="2" s="1"/>
  <c r="F377" i="2" a="1"/>
  <c r="F377" i="2" s="1"/>
  <c r="F378" i="2" a="1"/>
  <c r="F378" i="2" s="1"/>
  <c r="F379" i="2" a="1"/>
  <c r="F379" i="2" s="1"/>
  <c r="F380" i="2" a="1"/>
  <c r="F380" i="2" s="1"/>
  <c r="F446" i="2" a="1"/>
  <c r="F446" i="2" s="1"/>
  <c r="F447" i="2" a="1"/>
  <c r="F447" i="2" s="1"/>
  <c r="F448" i="2" a="1"/>
  <c r="F448" i="2" s="1"/>
  <c r="F449" i="2" a="1"/>
  <c r="F449" i="2" s="1"/>
  <c r="F450" i="2" a="1"/>
  <c r="F450" i="2" s="1"/>
  <c r="F451" i="2" a="1"/>
  <c r="F451" i="2" s="1"/>
  <c r="F452" i="2" a="1"/>
  <c r="F452" i="2" s="1"/>
  <c r="F453" i="2" a="1"/>
  <c r="F453" i="2" s="1"/>
  <c r="F454" i="2" a="1"/>
  <c r="F454" i="2" s="1"/>
  <c r="F455" i="2" a="1"/>
  <c r="F455" i="2" s="1"/>
  <c r="F456" i="2" a="1"/>
  <c r="F456" i="2" s="1"/>
  <c r="F457" i="2" a="1"/>
  <c r="F457" i="2" s="1"/>
  <c r="F458" i="2" a="1"/>
  <c r="F458" i="2" s="1"/>
  <c r="F147" i="2" a="1"/>
  <c r="F147" i="2" s="1"/>
  <c r="F148" i="2" a="1"/>
  <c r="F148" i="2" s="1"/>
  <c r="F149" i="2" a="1"/>
  <c r="F149" i="2" s="1"/>
  <c r="F150" i="2" a="1"/>
  <c r="F150" i="2" s="1"/>
  <c r="F151" i="2" a="1"/>
  <c r="F151" i="2" s="1"/>
  <c r="F152" i="2" a="1"/>
  <c r="F152" i="2" s="1"/>
  <c r="F153" i="2" a="1"/>
  <c r="F153" i="2" s="1"/>
  <c r="F154" i="2" a="1"/>
  <c r="F154" i="2" s="1"/>
  <c r="F155" i="2" a="1"/>
  <c r="F155" i="2" s="1"/>
  <c r="F156" i="2" a="1"/>
  <c r="F156" i="2" s="1"/>
  <c r="F157" i="2" a="1"/>
  <c r="F157" i="2" s="1"/>
  <c r="F158" i="2" a="1"/>
  <c r="F158" i="2" s="1"/>
  <c r="F159" i="2" a="1"/>
  <c r="F159" i="2" s="1"/>
  <c r="F225" i="2" a="1"/>
  <c r="F225" i="2" s="1"/>
  <c r="F226" i="2" a="1"/>
  <c r="F226" i="2" s="1"/>
  <c r="F227" i="2" a="1"/>
  <c r="F227" i="2" s="1"/>
  <c r="F228" i="2" a="1"/>
  <c r="F228" i="2" s="1"/>
  <c r="F229" i="2" a="1"/>
  <c r="F229" i="2" s="1"/>
  <c r="F230" i="2" a="1"/>
  <c r="F230" i="2" s="1"/>
  <c r="F231" i="2" a="1"/>
  <c r="F231" i="2" s="1"/>
  <c r="F232" i="2" a="1"/>
  <c r="F232" i="2" s="1"/>
  <c r="F233" i="2" a="1"/>
  <c r="F233" i="2" s="1"/>
  <c r="F234" i="2" a="1"/>
  <c r="F234" i="2" s="1"/>
  <c r="F235" i="2" a="1"/>
  <c r="F235" i="2" s="1"/>
  <c r="F236" i="2" a="1"/>
  <c r="F236" i="2" s="1"/>
  <c r="F237" i="2" a="1"/>
  <c r="F237" i="2" s="1"/>
  <c r="F303" i="2" a="1"/>
  <c r="F303" i="2" s="1"/>
  <c r="F304" i="2" a="1"/>
  <c r="F304" i="2" s="1"/>
  <c r="F305" i="2" a="1"/>
  <c r="F305" i="2" s="1"/>
  <c r="F306" i="2" a="1"/>
  <c r="F306" i="2" s="1"/>
  <c r="F307" i="2" a="1"/>
  <c r="F307" i="2" s="1"/>
  <c r="F308" i="2" a="1"/>
  <c r="F308" i="2" s="1"/>
  <c r="F309" i="2" a="1"/>
  <c r="F309" i="2" s="1"/>
  <c r="F310" i="2" a="1"/>
  <c r="F310" i="2" s="1"/>
  <c r="F311" i="2" a="1"/>
  <c r="F311" i="2" s="1"/>
  <c r="F312" i="2" a="1"/>
  <c r="F312" i="2" s="1"/>
  <c r="F313" i="2" a="1"/>
  <c r="F313" i="2" s="1"/>
  <c r="F314" i="2" a="1"/>
  <c r="F314" i="2" s="1"/>
  <c r="F315" i="2" a="1"/>
  <c r="F315" i="2" s="1"/>
  <c r="F381" i="2" a="1"/>
  <c r="F381" i="2" s="1"/>
  <c r="F382" i="2" a="1"/>
  <c r="F382" i="2" s="1"/>
  <c r="F383" i="2" a="1"/>
  <c r="F383" i="2" s="1"/>
  <c r="F384" i="2" a="1"/>
  <c r="F384" i="2" s="1"/>
  <c r="F385" i="2" a="1"/>
  <c r="F385" i="2" s="1"/>
  <c r="F386" i="2" a="1"/>
  <c r="F386" i="2" s="1"/>
  <c r="F387" i="2" a="1"/>
  <c r="F387" i="2" s="1"/>
  <c r="F388" i="2" a="1"/>
  <c r="F388" i="2" s="1"/>
  <c r="F389" i="2" a="1"/>
  <c r="F389" i="2" s="1"/>
  <c r="F390" i="2" a="1"/>
  <c r="F390" i="2" s="1"/>
  <c r="F391" i="2" a="1"/>
  <c r="F391" i="2" s="1"/>
  <c r="F392" i="2" a="1"/>
  <c r="F392" i="2" s="1"/>
  <c r="F393" i="2" a="1"/>
  <c r="F393" i="2" s="1"/>
  <c r="F459" i="2" a="1"/>
  <c r="F459" i="2" s="1"/>
  <c r="F460" i="2" a="1"/>
  <c r="F460" i="2" s="1"/>
  <c r="F461" i="2" a="1"/>
  <c r="F461" i="2" s="1"/>
  <c r="F462" i="2" a="1"/>
  <c r="F462" i="2" s="1"/>
  <c r="F463" i="2" a="1"/>
  <c r="F463" i="2" s="1"/>
  <c r="F464" i="2" a="1"/>
  <c r="F464" i="2" s="1"/>
  <c r="F465" i="2" a="1"/>
  <c r="F465" i="2" s="1"/>
  <c r="F466" i="2" a="1"/>
  <c r="F466" i="2" s="1"/>
  <c r="F467" i="2" a="1"/>
  <c r="F467" i="2" s="1"/>
  <c r="F468" i="2" a="1"/>
  <c r="F468" i="2" s="1"/>
  <c r="F469" i="2" a="1"/>
  <c r="F469" i="2" s="1"/>
  <c r="F470" i="2" a="1"/>
  <c r="F470" i="2" s="1"/>
  <c r="F471" i="2" a="1"/>
  <c r="F471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15" i="2" a="1"/>
  <c r="F15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23" i="2" a="1"/>
  <c r="F23" i="2" s="1"/>
  <c r="F24" i="2" a="1"/>
  <c r="F24" i="2" s="1"/>
  <c r="F25" i="2" a="1"/>
  <c r="F25" i="2" s="1"/>
  <c r="F26" i="2" a="1"/>
  <c r="F26" i="2" s="1"/>
  <c r="F27" i="2" a="1"/>
  <c r="F27" i="2" s="1"/>
  <c r="F28" i="2" a="1"/>
  <c r="F28" i="2" s="1"/>
  <c r="F29" i="2" a="1"/>
  <c r="F29" i="2" s="1"/>
  <c r="F30" i="2" a="1"/>
  <c r="F30" i="2" s="1"/>
  <c r="F31" i="2" a="1"/>
  <c r="F31" i="2" s="1"/>
  <c r="F32" i="2" a="1"/>
  <c r="F32" i="2" s="1"/>
  <c r="F33" i="2" a="1"/>
  <c r="F33" i="2" s="1"/>
  <c r="F34" i="2" a="1"/>
  <c r="F34" i="2" s="1"/>
  <c r="F35" i="2" a="1"/>
  <c r="F35" i="2" s="1"/>
  <c r="F36" i="2" a="1"/>
  <c r="F36" i="2" s="1"/>
  <c r="F37" i="2" a="1"/>
  <c r="F37" i="2" s="1"/>
  <c r="F38" i="2" a="1"/>
  <c r="F38" i="2" s="1"/>
  <c r="F39" i="2" a="1"/>
  <c r="F39" i="2" s="1"/>
  <c r="F40" i="2" a="1"/>
  <c r="F40" i="2" s="1"/>
  <c r="F41" i="2" a="1"/>
  <c r="F41" i="2" s="1"/>
  <c r="F42" i="2" a="1"/>
  <c r="F42" i="2" s="1"/>
  <c r="F43" i="2" a="1"/>
  <c r="F43" i="2" s="1"/>
  <c r="F44" i="2" a="1"/>
  <c r="F44" i="2" s="1"/>
  <c r="F45" i="2" a="1"/>
  <c r="F45" i="2" s="1"/>
  <c r="F46" i="2" a="1"/>
  <c r="F46" i="2" s="1"/>
  <c r="F47" i="2" a="1"/>
  <c r="F47" i="2" s="1"/>
  <c r="F48" i="2" a="1"/>
  <c r="F48" i="2" s="1"/>
  <c r="F49" i="2" a="1"/>
  <c r="F49" i="2" s="1"/>
  <c r="F50" i="2" a="1"/>
  <c r="F50" i="2" s="1"/>
  <c r="F51" i="2" a="1"/>
  <c r="F51" i="2" s="1"/>
  <c r="F52" i="2" a="1"/>
  <c r="F52" i="2" s="1"/>
  <c r="F53" i="2" a="1"/>
  <c r="F53" i="2" s="1"/>
  <c r="F54" i="2" a="1"/>
  <c r="F54" i="2" s="1"/>
  <c r="F55" i="2" a="1"/>
  <c r="F55" i="2" s="1"/>
  <c r="F56" i="2" a="1"/>
  <c r="F56" i="2" s="1"/>
  <c r="F57" i="2" a="1"/>
  <c r="F57" i="2" s="1"/>
  <c r="F58" i="2" a="1"/>
  <c r="F58" i="2" s="1"/>
  <c r="F59" i="2" a="1"/>
  <c r="F59" i="2" s="1"/>
  <c r="F60" i="2" a="1"/>
  <c r="F60" i="2" s="1"/>
  <c r="F61" i="2" a="1"/>
  <c r="F61" i="2" s="1"/>
  <c r="F62" i="2" a="1"/>
  <c r="F62" i="2" s="1"/>
  <c r="F63" i="2" a="1"/>
  <c r="F63" i="2" s="1"/>
  <c r="F64" i="2" a="1"/>
  <c r="F64" i="2" s="1"/>
  <c r="F65" i="2" a="1"/>
  <c r="F65" i="2" s="1"/>
  <c r="F66" i="2" a="1"/>
  <c r="F66" i="2" s="1"/>
  <c r="F67" i="2" a="1"/>
  <c r="F67" i="2" s="1"/>
  <c r="F68" i="2" a="1"/>
  <c r="F68" i="2" s="1"/>
  <c r="F69" i="2" a="1"/>
  <c r="F69" i="2" s="1"/>
  <c r="F70" i="2" a="1"/>
  <c r="F70" i="2" s="1"/>
  <c r="F71" i="2" a="1"/>
  <c r="F71" i="2" s="1"/>
  <c r="F72" i="2" a="1"/>
  <c r="F72" i="2" s="1"/>
  <c r="F73" i="2" a="1"/>
  <c r="F73" i="2" s="1"/>
  <c r="F74" i="2" a="1"/>
  <c r="F74" i="2" s="1"/>
  <c r="F75" i="2" a="1"/>
  <c r="F75" i="2" s="1"/>
  <c r="F76" i="2" a="1"/>
  <c r="F76" i="2" s="1"/>
  <c r="F77" i="2" a="1"/>
  <c r="F77" i="2" s="1"/>
  <c r="F78" i="2" a="1"/>
  <c r="F78" i="2" s="1"/>
  <c r="F79" i="2" a="1"/>
  <c r="F79" i="2" s="1"/>
  <c r="F80" i="2" a="1"/>
  <c r="F80" i="2" s="1"/>
  <c r="F81" i="2" a="1"/>
  <c r="F81" i="2" s="1"/>
  <c r="E83" i="2" a="1"/>
  <c r="E83" i="2" s="1"/>
  <c r="E84" i="2" a="1"/>
  <c r="E84" i="2" s="1"/>
  <c r="E85" i="2" a="1"/>
  <c r="E85" i="2" s="1"/>
  <c r="E86" i="2" a="1"/>
  <c r="E86" i="2" s="1"/>
  <c r="E87" i="2" a="1"/>
  <c r="E87" i="2" s="1"/>
  <c r="E88" i="2" a="1"/>
  <c r="E88" i="2" s="1"/>
  <c r="E89" i="2" a="1"/>
  <c r="E89" i="2" s="1"/>
  <c r="E90" i="2" a="1"/>
  <c r="E90" i="2" s="1"/>
  <c r="E91" i="2" a="1"/>
  <c r="E91" i="2" s="1"/>
  <c r="E92" i="2" a="1"/>
  <c r="E92" i="2" s="1"/>
  <c r="E93" i="2" a="1"/>
  <c r="E93" i="2" s="1"/>
  <c r="E94" i="2" a="1"/>
  <c r="E94" i="2" s="1"/>
  <c r="E160" i="2" a="1"/>
  <c r="E160" i="2" s="1"/>
  <c r="E161" i="2" a="1"/>
  <c r="E161" i="2" s="1"/>
  <c r="E162" i="2" a="1"/>
  <c r="E162" i="2" s="1"/>
  <c r="E163" i="2" a="1"/>
  <c r="E163" i="2" s="1"/>
  <c r="E164" i="2" a="1"/>
  <c r="E164" i="2" s="1"/>
  <c r="E165" i="2" a="1"/>
  <c r="E165" i="2" s="1"/>
  <c r="E166" i="2" a="1"/>
  <c r="E166" i="2" s="1"/>
  <c r="E167" i="2" a="1"/>
  <c r="E167" i="2" s="1"/>
  <c r="E168" i="2" a="1"/>
  <c r="E168" i="2" s="1"/>
  <c r="E169" i="2" a="1"/>
  <c r="E169" i="2" s="1"/>
  <c r="E170" i="2" a="1"/>
  <c r="E170" i="2" s="1"/>
  <c r="E171" i="2" a="1"/>
  <c r="E171" i="2" s="1"/>
  <c r="E172" i="2" a="1"/>
  <c r="E172" i="2" s="1"/>
  <c r="E238" i="2" a="1"/>
  <c r="E238" i="2" s="1"/>
  <c r="E239" i="2" a="1"/>
  <c r="E239" i="2" s="1"/>
  <c r="E240" i="2" a="1"/>
  <c r="E240" i="2" s="1"/>
  <c r="E241" i="2" a="1"/>
  <c r="E241" i="2" s="1"/>
  <c r="E242" i="2" a="1"/>
  <c r="E242" i="2" s="1"/>
  <c r="E243" i="2" a="1"/>
  <c r="E243" i="2" s="1"/>
  <c r="E244" i="2" a="1"/>
  <c r="E244" i="2" s="1"/>
  <c r="E245" i="2" a="1"/>
  <c r="E245" i="2" s="1"/>
  <c r="E246" i="2" a="1"/>
  <c r="E246" i="2" s="1"/>
  <c r="E247" i="2" a="1"/>
  <c r="E247" i="2" s="1"/>
  <c r="E248" i="2" a="1"/>
  <c r="E248" i="2" s="1"/>
  <c r="E249" i="2" a="1"/>
  <c r="E249" i="2" s="1"/>
  <c r="E250" i="2" a="1"/>
  <c r="E250" i="2" s="1"/>
  <c r="E316" i="2" a="1"/>
  <c r="E316" i="2" s="1"/>
  <c r="E317" i="2" a="1"/>
  <c r="E317" i="2" s="1"/>
  <c r="E318" i="2" a="1"/>
  <c r="E318" i="2" s="1"/>
  <c r="E319" i="2" a="1"/>
  <c r="E319" i="2" s="1"/>
  <c r="E320" i="2" a="1"/>
  <c r="E320" i="2" s="1"/>
  <c r="E321" i="2" a="1"/>
  <c r="E321" i="2" s="1"/>
  <c r="E322" i="2" a="1"/>
  <c r="E322" i="2" s="1"/>
  <c r="E323" i="2" a="1"/>
  <c r="E323" i="2" s="1"/>
  <c r="E324" i="2" a="1"/>
  <c r="E324" i="2" s="1"/>
  <c r="E325" i="2" a="1"/>
  <c r="E325" i="2" s="1"/>
  <c r="E326" i="2" a="1"/>
  <c r="E326" i="2" s="1"/>
  <c r="E327" i="2" a="1"/>
  <c r="E327" i="2" s="1"/>
  <c r="E328" i="2" a="1"/>
  <c r="E328" i="2" s="1"/>
  <c r="E394" i="2" a="1"/>
  <c r="E394" i="2" s="1"/>
  <c r="E395" i="2" a="1"/>
  <c r="E395" i="2" s="1"/>
  <c r="E396" i="2" a="1"/>
  <c r="E396" i="2" s="1"/>
  <c r="E397" i="2" a="1"/>
  <c r="E397" i="2" s="1"/>
  <c r="E398" i="2" a="1"/>
  <c r="E398" i="2" s="1"/>
  <c r="E399" i="2" a="1"/>
  <c r="E399" i="2" s="1"/>
  <c r="E400" i="2" a="1"/>
  <c r="E400" i="2" s="1"/>
  <c r="E401" i="2" a="1"/>
  <c r="E401" i="2" s="1"/>
  <c r="E402" i="2" a="1"/>
  <c r="E402" i="2" s="1"/>
  <c r="E403" i="2" a="1"/>
  <c r="E403" i="2" s="1"/>
  <c r="E404" i="2" a="1"/>
  <c r="E404" i="2" s="1"/>
  <c r="E405" i="2" a="1"/>
  <c r="E405" i="2" s="1"/>
  <c r="E406" i="2" a="1"/>
  <c r="E406" i="2" s="1"/>
  <c r="E95" i="2" a="1"/>
  <c r="E95" i="2" s="1"/>
  <c r="E96" i="2" a="1"/>
  <c r="E96" i="2" s="1"/>
  <c r="E97" i="2" a="1"/>
  <c r="E97" i="2" s="1"/>
  <c r="E98" i="2" a="1"/>
  <c r="E98" i="2" s="1"/>
  <c r="E99" i="2" a="1"/>
  <c r="E99" i="2" s="1"/>
  <c r="E100" i="2" a="1"/>
  <c r="E100" i="2" s="1"/>
  <c r="E101" i="2" a="1"/>
  <c r="E101" i="2" s="1"/>
  <c r="E102" i="2" a="1"/>
  <c r="E102" i="2" s="1"/>
  <c r="E103" i="2" a="1"/>
  <c r="E103" i="2" s="1"/>
  <c r="E104" i="2" a="1"/>
  <c r="E104" i="2" s="1"/>
  <c r="E105" i="2" a="1"/>
  <c r="E105" i="2" s="1"/>
  <c r="E106" i="2" a="1"/>
  <c r="E106" i="2" s="1"/>
  <c r="E107" i="2" a="1"/>
  <c r="E107" i="2" s="1"/>
  <c r="E173" i="2" a="1"/>
  <c r="E173" i="2" s="1"/>
  <c r="E174" i="2" a="1"/>
  <c r="E174" i="2" s="1"/>
  <c r="E175" i="2" a="1"/>
  <c r="E175" i="2" s="1"/>
  <c r="E176" i="2" a="1"/>
  <c r="E176" i="2" s="1"/>
  <c r="E177" i="2" a="1"/>
  <c r="E177" i="2" s="1"/>
  <c r="E178" i="2" a="1"/>
  <c r="E178" i="2" s="1"/>
  <c r="E179" i="2" a="1"/>
  <c r="E179" i="2" s="1"/>
  <c r="E180" i="2" a="1"/>
  <c r="E180" i="2" s="1"/>
  <c r="E181" i="2" a="1"/>
  <c r="E181" i="2" s="1"/>
  <c r="E182" i="2" a="1"/>
  <c r="E182" i="2" s="1"/>
  <c r="E183" i="2" a="1"/>
  <c r="E183" i="2" s="1"/>
  <c r="E184" i="2" a="1"/>
  <c r="E184" i="2" s="1"/>
  <c r="E185" i="2" a="1"/>
  <c r="E185" i="2" s="1"/>
  <c r="E251" i="2" a="1"/>
  <c r="E251" i="2" s="1"/>
  <c r="E252" i="2" a="1"/>
  <c r="E252" i="2" s="1"/>
  <c r="E253" i="2" a="1"/>
  <c r="E253" i="2" s="1"/>
  <c r="E254" i="2" a="1"/>
  <c r="E254" i="2" s="1"/>
  <c r="E255" i="2" a="1"/>
  <c r="E255" i="2" s="1"/>
  <c r="E256" i="2" a="1"/>
  <c r="E256" i="2" s="1"/>
  <c r="E257" i="2" a="1"/>
  <c r="E257" i="2" s="1"/>
  <c r="E258" i="2" a="1"/>
  <c r="E258" i="2" s="1"/>
  <c r="E259" i="2" a="1"/>
  <c r="E259" i="2" s="1"/>
  <c r="E260" i="2" a="1"/>
  <c r="E260" i="2" s="1"/>
  <c r="E261" i="2" a="1"/>
  <c r="E261" i="2" s="1"/>
  <c r="E262" i="2" a="1"/>
  <c r="E262" i="2" s="1"/>
  <c r="E263" i="2" a="1"/>
  <c r="E263" i="2" s="1"/>
  <c r="E329" i="2" a="1"/>
  <c r="E329" i="2" s="1"/>
  <c r="E330" i="2" a="1"/>
  <c r="E330" i="2" s="1"/>
  <c r="E331" i="2" a="1"/>
  <c r="E331" i="2" s="1"/>
  <c r="E332" i="2" a="1"/>
  <c r="E332" i="2" s="1"/>
  <c r="E333" i="2" a="1"/>
  <c r="E333" i="2" s="1"/>
  <c r="E334" i="2" a="1"/>
  <c r="E334" i="2" s="1"/>
  <c r="E335" i="2" a="1"/>
  <c r="E335" i="2" s="1"/>
  <c r="E336" i="2" a="1"/>
  <c r="E336" i="2" s="1"/>
  <c r="E337" i="2" a="1"/>
  <c r="E337" i="2" s="1"/>
  <c r="E338" i="2" a="1"/>
  <c r="E338" i="2" s="1"/>
  <c r="E339" i="2" a="1"/>
  <c r="E339" i="2" s="1"/>
  <c r="E340" i="2" a="1"/>
  <c r="E340" i="2" s="1"/>
  <c r="E341" i="2" a="1"/>
  <c r="E341" i="2" s="1"/>
  <c r="E407" i="2" a="1"/>
  <c r="E407" i="2" s="1"/>
  <c r="E408" i="2" a="1"/>
  <c r="E408" i="2" s="1"/>
  <c r="E409" i="2" a="1"/>
  <c r="E409" i="2" s="1"/>
  <c r="E410" i="2" a="1"/>
  <c r="E410" i="2" s="1"/>
  <c r="E411" i="2" a="1"/>
  <c r="E411" i="2" s="1"/>
  <c r="E412" i="2" a="1"/>
  <c r="E412" i="2" s="1"/>
  <c r="E413" i="2" a="1"/>
  <c r="E413" i="2" s="1"/>
  <c r="E414" i="2" a="1"/>
  <c r="E414" i="2" s="1"/>
  <c r="E415" i="2" a="1"/>
  <c r="E415" i="2" s="1"/>
  <c r="E416" i="2" a="1"/>
  <c r="E416" i="2" s="1"/>
  <c r="E417" i="2" a="1"/>
  <c r="E417" i="2" s="1"/>
  <c r="E418" i="2" a="1"/>
  <c r="E418" i="2" s="1"/>
  <c r="E419" i="2" a="1"/>
  <c r="E419" i="2" s="1"/>
  <c r="E108" i="2" a="1"/>
  <c r="E108" i="2" s="1"/>
  <c r="E109" i="2" a="1"/>
  <c r="E109" i="2" s="1"/>
  <c r="E110" i="2" a="1"/>
  <c r="E110" i="2" s="1"/>
  <c r="E111" i="2" a="1"/>
  <c r="E111" i="2" s="1"/>
  <c r="E112" i="2" a="1"/>
  <c r="E112" i="2" s="1"/>
  <c r="E113" i="2" a="1"/>
  <c r="E113" i="2" s="1"/>
  <c r="E114" i="2" a="1"/>
  <c r="E114" i="2" s="1"/>
  <c r="E115" i="2" a="1"/>
  <c r="E115" i="2" s="1"/>
  <c r="E116" i="2" a="1"/>
  <c r="E116" i="2" s="1"/>
  <c r="E117" i="2" a="1"/>
  <c r="E117" i="2" s="1"/>
  <c r="E118" i="2" a="1"/>
  <c r="E118" i="2" s="1"/>
  <c r="E119" i="2" a="1"/>
  <c r="E119" i="2" s="1"/>
  <c r="E120" i="2" a="1"/>
  <c r="E120" i="2" s="1"/>
  <c r="E186" i="2" a="1"/>
  <c r="E186" i="2" s="1"/>
  <c r="E187" i="2" a="1"/>
  <c r="E187" i="2" s="1"/>
  <c r="E188" i="2" a="1"/>
  <c r="E188" i="2" s="1"/>
  <c r="E189" i="2" a="1"/>
  <c r="E189" i="2" s="1"/>
  <c r="E190" i="2" a="1"/>
  <c r="E190" i="2" s="1"/>
  <c r="E191" i="2" a="1"/>
  <c r="E191" i="2" s="1"/>
  <c r="E192" i="2" a="1"/>
  <c r="E192" i="2" s="1"/>
  <c r="E193" i="2" a="1"/>
  <c r="E193" i="2" s="1"/>
  <c r="E194" i="2" a="1"/>
  <c r="E194" i="2" s="1"/>
  <c r="E195" i="2" a="1"/>
  <c r="E195" i="2" s="1"/>
  <c r="E196" i="2" a="1"/>
  <c r="E196" i="2" s="1"/>
  <c r="E197" i="2" a="1"/>
  <c r="E197" i="2" s="1"/>
  <c r="E198" i="2" a="1"/>
  <c r="E198" i="2" s="1"/>
  <c r="E264" i="2" a="1"/>
  <c r="E264" i="2" s="1"/>
  <c r="E265" i="2" a="1"/>
  <c r="E265" i="2" s="1"/>
  <c r="E266" i="2" a="1"/>
  <c r="E266" i="2" s="1"/>
  <c r="E267" i="2" a="1"/>
  <c r="E267" i="2" s="1"/>
  <c r="E268" i="2" a="1"/>
  <c r="E268" i="2" s="1"/>
  <c r="E269" i="2" a="1"/>
  <c r="E269" i="2" s="1"/>
  <c r="E270" i="2" a="1"/>
  <c r="E270" i="2" s="1"/>
  <c r="E271" i="2" a="1"/>
  <c r="E271" i="2" s="1"/>
  <c r="E272" i="2" a="1"/>
  <c r="E272" i="2" s="1"/>
  <c r="E273" i="2" a="1"/>
  <c r="E273" i="2" s="1"/>
  <c r="E274" i="2" a="1"/>
  <c r="E274" i="2" s="1"/>
  <c r="E275" i="2" a="1"/>
  <c r="E275" i="2" s="1"/>
  <c r="E276" i="2" a="1"/>
  <c r="E276" i="2" s="1"/>
  <c r="E342" i="2" a="1"/>
  <c r="E342" i="2" s="1"/>
  <c r="E343" i="2" a="1"/>
  <c r="E343" i="2" s="1"/>
  <c r="E344" i="2" a="1"/>
  <c r="E344" i="2" s="1"/>
  <c r="E345" i="2" a="1"/>
  <c r="E345" i="2" s="1"/>
  <c r="E346" i="2" a="1"/>
  <c r="E346" i="2" s="1"/>
  <c r="E347" i="2" a="1"/>
  <c r="E347" i="2" s="1"/>
  <c r="E348" i="2" a="1"/>
  <c r="E348" i="2" s="1"/>
  <c r="E349" i="2" a="1"/>
  <c r="E349" i="2" s="1"/>
  <c r="E350" i="2" a="1"/>
  <c r="E350" i="2" s="1"/>
  <c r="E351" i="2" a="1"/>
  <c r="E351" i="2" s="1"/>
  <c r="E352" i="2" a="1"/>
  <c r="E352" i="2" s="1"/>
  <c r="E353" i="2" a="1"/>
  <c r="E353" i="2" s="1"/>
  <c r="E354" i="2" a="1"/>
  <c r="E354" i="2" s="1"/>
  <c r="E420" i="2" a="1"/>
  <c r="E420" i="2" s="1"/>
  <c r="E421" i="2" a="1"/>
  <c r="E421" i="2" s="1"/>
  <c r="E422" i="2" a="1"/>
  <c r="E422" i="2" s="1"/>
  <c r="E423" i="2" a="1"/>
  <c r="E423" i="2" s="1"/>
  <c r="E424" i="2" a="1"/>
  <c r="E424" i="2" s="1"/>
  <c r="E425" i="2" a="1"/>
  <c r="E425" i="2" s="1"/>
  <c r="E426" i="2" a="1"/>
  <c r="E426" i="2" s="1"/>
  <c r="E427" i="2" a="1"/>
  <c r="E427" i="2" s="1"/>
  <c r="E428" i="2" a="1"/>
  <c r="E428" i="2" s="1"/>
  <c r="E429" i="2" a="1"/>
  <c r="E429" i="2" s="1"/>
  <c r="E430" i="2" a="1"/>
  <c r="E430" i="2" s="1"/>
  <c r="E431" i="2" a="1"/>
  <c r="E431" i="2" s="1"/>
  <c r="E432" i="2" a="1"/>
  <c r="E432" i="2" s="1"/>
  <c r="E121" i="2" a="1"/>
  <c r="E121" i="2" s="1"/>
  <c r="E122" i="2" a="1"/>
  <c r="E122" i="2" s="1"/>
  <c r="E123" i="2" a="1"/>
  <c r="E123" i="2" s="1"/>
  <c r="E124" i="2" a="1"/>
  <c r="E124" i="2" s="1"/>
  <c r="E125" i="2" a="1"/>
  <c r="E125" i="2" s="1"/>
  <c r="E126" i="2" a="1"/>
  <c r="E126" i="2" s="1"/>
  <c r="E127" i="2" a="1"/>
  <c r="E127" i="2" s="1"/>
  <c r="E128" i="2" a="1"/>
  <c r="E128" i="2" s="1"/>
  <c r="E129" i="2" a="1"/>
  <c r="E129" i="2" s="1"/>
  <c r="E130" i="2" a="1"/>
  <c r="E130" i="2" s="1"/>
  <c r="E131" i="2" a="1"/>
  <c r="E131" i="2" s="1"/>
  <c r="E132" i="2" a="1"/>
  <c r="E132" i="2" s="1"/>
  <c r="E133" i="2" a="1"/>
  <c r="E133" i="2" s="1"/>
  <c r="E199" i="2" a="1"/>
  <c r="E199" i="2" s="1"/>
  <c r="E200" i="2" a="1"/>
  <c r="E200" i="2" s="1"/>
  <c r="E201" i="2" a="1"/>
  <c r="E201" i="2" s="1"/>
  <c r="E202" i="2" a="1"/>
  <c r="E202" i="2" s="1"/>
  <c r="E203" i="2" a="1"/>
  <c r="E203" i="2" s="1"/>
  <c r="E204" i="2" a="1"/>
  <c r="E204" i="2" s="1"/>
  <c r="E205" i="2" a="1"/>
  <c r="E205" i="2" s="1"/>
  <c r="E206" i="2" a="1"/>
  <c r="E206" i="2" s="1"/>
  <c r="E207" i="2" a="1"/>
  <c r="E207" i="2" s="1"/>
  <c r="E208" i="2" a="1"/>
  <c r="E208" i="2" s="1"/>
  <c r="E209" i="2" a="1"/>
  <c r="E209" i="2" s="1"/>
  <c r="E210" i="2" a="1"/>
  <c r="E210" i="2" s="1"/>
  <c r="E211" i="2" a="1"/>
  <c r="E211" i="2" s="1"/>
  <c r="E277" i="2" a="1"/>
  <c r="E277" i="2" s="1"/>
  <c r="E278" i="2" a="1"/>
  <c r="E278" i="2" s="1"/>
  <c r="E279" i="2" a="1"/>
  <c r="E279" i="2" s="1"/>
  <c r="E280" i="2" a="1"/>
  <c r="E280" i="2" s="1"/>
  <c r="E281" i="2" a="1"/>
  <c r="E281" i="2" s="1"/>
  <c r="E282" i="2" a="1"/>
  <c r="E282" i="2" s="1"/>
  <c r="E283" i="2" a="1"/>
  <c r="E283" i="2" s="1"/>
  <c r="E284" i="2" a="1"/>
  <c r="E284" i="2" s="1"/>
  <c r="E285" i="2" a="1"/>
  <c r="E285" i="2" s="1"/>
  <c r="E286" i="2" a="1"/>
  <c r="E286" i="2" s="1"/>
  <c r="E287" i="2" a="1"/>
  <c r="E287" i="2" s="1"/>
  <c r="E288" i="2" a="1"/>
  <c r="E288" i="2" s="1"/>
  <c r="E289" i="2" a="1"/>
  <c r="E289" i="2" s="1"/>
  <c r="E355" i="2" a="1"/>
  <c r="E355" i="2" s="1"/>
  <c r="E356" i="2" a="1"/>
  <c r="E356" i="2" s="1"/>
  <c r="E357" i="2" a="1"/>
  <c r="E357" i="2" s="1"/>
  <c r="E358" i="2" a="1"/>
  <c r="E358" i="2" s="1"/>
  <c r="E359" i="2" a="1"/>
  <c r="E359" i="2" s="1"/>
  <c r="E360" i="2" a="1"/>
  <c r="E360" i="2" s="1"/>
  <c r="E361" i="2" a="1"/>
  <c r="E361" i="2" s="1"/>
  <c r="E362" i="2" a="1"/>
  <c r="E362" i="2" s="1"/>
  <c r="E363" i="2" a="1"/>
  <c r="E363" i="2" s="1"/>
  <c r="E364" i="2" a="1"/>
  <c r="E364" i="2" s="1"/>
  <c r="E365" i="2" a="1"/>
  <c r="E365" i="2" s="1"/>
  <c r="E366" i="2" a="1"/>
  <c r="E366" i="2" s="1"/>
  <c r="E367" i="2" a="1"/>
  <c r="E367" i="2" s="1"/>
  <c r="E433" i="2" a="1"/>
  <c r="E433" i="2" s="1"/>
  <c r="E434" i="2" a="1"/>
  <c r="E434" i="2" s="1"/>
  <c r="E435" i="2" a="1"/>
  <c r="E435" i="2" s="1"/>
  <c r="E436" i="2" a="1"/>
  <c r="E436" i="2" s="1"/>
  <c r="E437" i="2" a="1"/>
  <c r="E437" i="2" s="1"/>
  <c r="E438" i="2" a="1"/>
  <c r="E438" i="2" s="1"/>
  <c r="E439" i="2" a="1"/>
  <c r="E439" i="2" s="1"/>
  <c r="E440" i="2" a="1"/>
  <c r="E440" i="2" s="1"/>
  <c r="E441" i="2" a="1"/>
  <c r="E441" i="2" s="1"/>
  <c r="E442" i="2" a="1"/>
  <c r="E442" i="2" s="1"/>
  <c r="E443" i="2" a="1"/>
  <c r="E443" i="2" s="1"/>
  <c r="E444" i="2" a="1"/>
  <c r="E444" i="2" s="1"/>
  <c r="E445" i="2" a="1"/>
  <c r="E445" i="2" s="1"/>
  <c r="E134" i="2" a="1"/>
  <c r="E134" i="2" s="1"/>
  <c r="E135" i="2" a="1"/>
  <c r="E135" i="2" s="1"/>
  <c r="E136" i="2" a="1"/>
  <c r="E136" i="2" s="1"/>
  <c r="E137" i="2" a="1"/>
  <c r="E137" i="2" s="1"/>
  <c r="E138" i="2" a="1"/>
  <c r="E138" i="2" s="1"/>
  <c r="E139" i="2" a="1"/>
  <c r="E139" i="2" s="1"/>
  <c r="E140" i="2" a="1"/>
  <c r="E140" i="2" s="1"/>
  <c r="E141" i="2" a="1"/>
  <c r="E141" i="2" s="1"/>
  <c r="E142" i="2" a="1"/>
  <c r="E142" i="2" s="1"/>
  <c r="E143" i="2" a="1"/>
  <c r="E143" i="2" s="1"/>
  <c r="E144" i="2" a="1"/>
  <c r="E144" i="2" s="1"/>
  <c r="E145" i="2" a="1"/>
  <c r="E145" i="2" s="1"/>
  <c r="E146" i="2" a="1"/>
  <c r="E146" i="2" s="1"/>
  <c r="E212" i="2" a="1"/>
  <c r="E212" i="2" s="1"/>
  <c r="E213" i="2" a="1"/>
  <c r="E213" i="2" s="1"/>
  <c r="E214" i="2" a="1"/>
  <c r="E214" i="2" s="1"/>
  <c r="E215" i="2" a="1"/>
  <c r="E215" i="2" s="1"/>
  <c r="E216" i="2" a="1"/>
  <c r="E216" i="2" s="1"/>
  <c r="E217" i="2" a="1"/>
  <c r="E217" i="2" s="1"/>
  <c r="E218" i="2" a="1"/>
  <c r="E218" i="2" s="1"/>
  <c r="E219" i="2" a="1"/>
  <c r="E219" i="2" s="1"/>
  <c r="E220" i="2" a="1"/>
  <c r="E220" i="2" s="1"/>
  <c r="E221" i="2" a="1"/>
  <c r="E221" i="2" s="1"/>
  <c r="E222" i="2" a="1"/>
  <c r="E222" i="2" s="1"/>
  <c r="E223" i="2" a="1"/>
  <c r="E223" i="2" s="1"/>
  <c r="E224" i="2" a="1"/>
  <c r="E224" i="2" s="1"/>
  <c r="E290" i="2" a="1"/>
  <c r="E290" i="2" s="1"/>
  <c r="E291" i="2" a="1"/>
  <c r="E291" i="2" s="1"/>
  <c r="E292" i="2" a="1"/>
  <c r="E292" i="2" s="1"/>
  <c r="E293" i="2" a="1"/>
  <c r="E293" i="2" s="1"/>
  <c r="E294" i="2" a="1"/>
  <c r="E294" i="2" s="1"/>
  <c r="E295" i="2" a="1"/>
  <c r="E295" i="2" s="1"/>
  <c r="E296" i="2" a="1"/>
  <c r="E296" i="2" s="1"/>
  <c r="E297" i="2" a="1"/>
  <c r="E297" i="2" s="1"/>
  <c r="E298" i="2" a="1"/>
  <c r="E298" i="2" s="1"/>
  <c r="E299" i="2" a="1"/>
  <c r="E299" i="2" s="1"/>
  <c r="E300" i="2" a="1"/>
  <c r="E300" i="2" s="1"/>
  <c r="E301" i="2" a="1"/>
  <c r="E301" i="2" s="1"/>
  <c r="E302" i="2" a="1"/>
  <c r="E302" i="2" s="1"/>
  <c r="E368" i="2" a="1"/>
  <c r="E368" i="2" s="1"/>
  <c r="E369" i="2" a="1"/>
  <c r="E369" i="2" s="1"/>
  <c r="E370" i="2" a="1"/>
  <c r="E370" i="2" s="1"/>
  <c r="E371" i="2" a="1"/>
  <c r="E371" i="2" s="1"/>
  <c r="E372" i="2" a="1"/>
  <c r="E372" i="2" s="1"/>
  <c r="E373" i="2" a="1"/>
  <c r="E373" i="2" s="1"/>
  <c r="E374" i="2" a="1"/>
  <c r="E374" i="2" s="1"/>
  <c r="E375" i="2" a="1"/>
  <c r="E375" i="2" s="1"/>
  <c r="E376" i="2" a="1"/>
  <c r="E376" i="2" s="1"/>
  <c r="E377" i="2" a="1"/>
  <c r="E377" i="2" s="1"/>
  <c r="E378" i="2" a="1"/>
  <c r="E378" i="2" s="1"/>
  <c r="E379" i="2" a="1"/>
  <c r="E379" i="2" s="1"/>
  <c r="E380" i="2" a="1"/>
  <c r="E380" i="2" s="1"/>
  <c r="E446" i="2" a="1"/>
  <c r="E446" i="2" s="1"/>
  <c r="E447" i="2" a="1"/>
  <c r="E447" i="2" s="1"/>
  <c r="E448" i="2" a="1"/>
  <c r="E448" i="2" s="1"/>
  <c r="E449" i="2" a="1"/>
  <c r="E449" i="2" s="1"/>
  <c r="E450" i="2" a="1"/>
  <c r="E450" i="2" s="1"/>
  <c r="E451" i="2" a="1"/>
  <c r="E451" i="2" s="1"/>
  <c r="E452" i="2" a="1"/>
  <c r="E452" i="2" s="1"/>
  <c r="E453" i="2" a="1"/>
  <c r="E453" i="2" s="1"/>
  <c r="E454" i="2" a="1"/>
  <c r="E454" i="2" s="1"/>
  <c r="E455" i="2" a="1"/>
  <c r="E455" i="2" s="1"/>
  <c r="E456" i="2" a="1"/>
  <c r="E456" i="2" s="1"/>
  <c r="E457" i="2" a="1"/>
  <c r="E457" i="2" s="1"/>
  <c r="E458" i="2" a="1"/>
  <c r="E458" i="2" s="1"/>
  <c r="E147" i="2" a="1"/>
  <c r="E147" i="2" s="1"/>
  <c r="E148" i="2" a="1"/>
  <c r="E148" i="2" s="1"/>
  <c r="E149" i="2" a="1"/>
  <c r="E149" i="2" s="1"/>
  <c r="E150" i="2" a="1"/>
  <c r="E150" i="2" s="1"/>
  <c r="E151" i="2" a="1"/>
  <c r="E151" i="2" s="1"/>
  <c r="E152" i="2" a="1"/>
  <c r="E152" i="2" s="1"/>
  <c r="E153" i="2" a="1"/>
  <c r="E153" i="2" s="1"/>
  <c r="E154" i="2" a="1"/>
  <c r="E154" i="2" s="1"/>
  <c r="E155" i="2" a="1"/>
  <c r="E155" i="2" s="1"/>
  <c r="E156" i="2" a="1"/>
  <c r="E156" i="2" s="1"/>
  <c r="E157" i="2" a="1"/>
  <c r="E157" i="2" s="1"/>
  <c r="E158" i="2" a="1"/>
  <c r="E158" i="2" s="1"/>
  <c r="E159" i="2" a="1"/>
  <c r="E159" i="2" s="1"/>
  <c r="E225" i="2" a="1"/>
  <c r="E225" i="2" s="1"/>
  <c r="E226" i="2" a="1"/>
  <c r="E226" i="2" s="1"/>
  <c r="E227" i="2" a="1"/>
  <c r="E227" i="2" s="1"/>
  <c r="E228" i="2" a="1"/>
  <c r="E228" i="2" s="1"/>
  <c r="E229" i="2" a="1"/>
  <c r="E229" i="2" s="1"/>
  <c r="E230" i="2" a="1"/>
  <c r="E230" i="2" s="1"/>
  <c r="E231" i="2" a="1"/>
  <c r="E231" i="2" s="1"/>
  <c r="E232" i="2" a="1"/>
  <c r="E232" i="2" s="1"/>
  <c r="E233" i="2" a="1"/>
  <c r="E233" i="2" s="1"/>
  <c r="E234" i="2" a="1"/>
  <c r="E234" i="2" s="1"/>
  <c r="E235" i="2" a="1"/>
  <c r="E235" i="2" s="1"/>
  <c r="E236" i="2" a="1"/>
  <c r="E236" i="2" s="1"/>
  <c r="E237" i="2" a="1"/>
  <c r="E237" i="2" s="1"/>
  <c r="E303" i="2" a="1"/>
  <c r="E303" i="2" s="1"/>
  <c r="E304" i="2" a="1"/>
  <c r="E304" i="2" s="1"/>
  <c r="E305" i="2" a="1"/>
  <c r="E305" i="2" s="1"/>
  <c r="E306" i="2" a="1"/>
  <c r="E306" i="2" s="1"/>
  <c r="E307" i="2" a="1"/>
  <c r="E307" i="2" s="1"/>
  <c r="E308" i="2" a="1"/>
  <c r="E308" i="2" s="1"/>
  <c r="E309" i="2" a="1"/>
  <c r="E309" i="2" s="1"/>
  <c r="E310" i="2" a="1"/>
  <c r="E310" i="2" s="1"/>
  <c r="E311" i="2" a="1"/>
  <c r="E311" i="2" s="1"/>
  <c r="E312" i="2" a="1"/>
  <c r="E312" i="2" s="1"/>
  <c r="E313" i="2" a="1"/>
  <c r="E313" i="2" s="1"/>
  <c r="E314" i="2" a="1"/>
  <c r="E314" i="2" s="1"/>
  <c r="E315" i="2" a="1"/>
  <c r="E315" i="2" s="1"/>
  <c r="E381" i="2" a="1"/>
  <c r="E381" i="2" s="1"/>
  <c r="E382" i="2" a="1"/>
  <c r="E382" i="2" s="1"/>
  <c r="E383" i="2" a="1"/>
  <c r="E383" i="2" s="1"/>
  <c r="E384" i="2" a="1"/>
  <c r="E384" i="2" s="1"/>
  <c r="E385" i="2" a="1"/>
  <c r="E385" i="2" s="1"/>
  <c r="E386" i="2" a="1"/>
  <c r="E386" i="2" s="1"/>
  <c r="E387" i="2" a="1"/>
  <c r="E387" i="2" s="1"/>
  <c r="E388" i="2" a="1"/>
  <c r="E388" i="2" s="1"/>
  <c r="E389" i="2" a="1"/>
  <c r="E389" i="2" s="1"/>
  <c r="E390" i="2" a="1"/>
  <c r="E390" i="2" s="1"/>
  <c r="E391" i="2" a="1"/>
  <c r="E391" i="2" s="1"/>
  <c r="E392" i="2" a="1"/>
  <c r="E392" i="2" s="1"/>
  <c r="E393" i="2" a="1"/>
  <c r="E393" i="2" s="1"/>
  <c r="E459" i="2" a="1"/>
  <c r="E459" i="2" s="1"/>
  <c r="E460" i="2" a="1"/>
  <c r="E460" i="2" s="1"/>
  <c r="E461" i="2" a="1"/>
  <c r="E461" i="2" s="1"/>
  <c r="E462" i="2" a="1"/>
  <c r="E462" i="2" s="1"/>
  <c r="E463" i="2" a="1"/>
  <c r="E463" i="2" s="1"/>
  <c r="E464" i="2" a="1"/>
  <c r="E464" i="2" s="1"/>
  <c r="E465" i="2" a="1"/>
  <c r="E465" i="2" s="1"/>
  <c r="E466" i="2" a="1"/>
  <c r="E466" i="2" s="1"/>
  <c r="E467" i="2" a="1"/>
  <c r="E467" i="2" s="1"/>
  <c r="E468" i="2" a="1"/>
  <c r="E468" i="2" s="1"/>
  <c r="E469" i="2" a="1"/>
  <c r="E469" i="2" s="1"/>
  <c r="E470" i="2" a="1"/>
  <c r="E470" i="2" s="1"/>
  <c r="E471" i="2" a="1"/>
  <c r="E471" i="2" s="1"/>
  <c r="E4" i="2" a="1"/>
  <c r="E4" i="2" s="1"/>
  <c r="E5" i="2" a="1"/>
  <c r="E5" i="2" s="1"/>
  <c r="E6" i="2" a="1"/>
  <c r="E6" i="2" s="1"/>
  <c r="E7" i="2" a="1"/>
  <c r="E7" i="2" s="1"/>
  <c r="E8" i="2" a="1"/>
  <c r="E8" i="2" s="1"/>
  <c r="E9" i="2" a="1"/>
  <c r="E9" i="2" s="1"/>
  <c r="E10" i="2" a="1"/>
  <c r="E10" i="2" s="1"/>
  <c r="E11" i="2" a="1"/>
  <c r="E11" i="2" s="1"/>
  <c r="E12" i="2" a="1"/>
  <c r="E12" i="2" s="1"/>
  <c r="E13" i="2" a="1"/>
  <c r="E13" i="2" s="1"/>
  <c r="E14" i="2" a="1"/>
  <c r="E14" i="2" s="1"/>
  <c r="E15" i="2" a="1"/>
  <c r="E15" i="2" s="1"/>
  <c r="E16" i="2" a="1"/>
  <c r="E16" i="2" s="1"/>
  <c r="E17" i="2" a="1"/>
  <c r="E17" i="2" s="1"/>
  <c r="E18" i="2" a="1"/>
  <c r="E18" i="2" s="1"/>
  <c r="E19" i="2" a="1"/>
  <c r="E19" i="2" s="1"/>
  <c r="E20" i="2" a="1"/>
  <c r="E20" i="2" s="1"/>
  <c r="E21" i="2" a="1"/>
  <c r="E21" i="2" s="1"/>
  <c r="E22" i="2" a="1"/>
  <c r="E22" i="2" s="1"/>
  <c r="E23" i="2" a="1"/>
  <c r="E23" i="2" s="1"/>
  <c r="E24" i="2" a="1"/>
  <c r="E24" i="2" s="1"/>
  <c r="E25" i="2" a="1"/>
  <c r="E25" i="2" s="1"/>
  <c r="E26" i="2" a="1"/>
  <c r="E26" i="2" s="1"/>
  <c r="E27" i="2" a="1"/>
  <c r="E27" i="2" s="1"/>
  <c r="E28" i="2" a="1"/>
  <c r="E28" i="2" s="1"/>
  <c r="E29" i="2" a="1"/>
  <c r="E29" i="2" s="1"/>
  <c r="E30" i="2" a="1"/>
  <c r="E30" i="2" s="1"/>
  <c r="E31" i="2" a="1"/>
  <c r="E31" i="2" s="1"/>
  <c r="E32" i="2" a="1"/>
  <c r="E32" i="2" s="1"/>
  <c r="E33" i="2" a="1"/>
  <c r="E33" i="2" s="1"/>
  <c r="E34" i="2" a="1"/>
  <c r="E34" i="2" s="1"/>
  <c r="E35" i="2" a="1"/>
  <c r="E35" i="2" s="1"/>
  <c r="E36" i="2" a="1"/>
  <c r="E36" i="2" s="1"/>
  <c r="E37" i="2" a="1"/>
  <c r="E37" i="2" s="1"/>
  <c r="E38" i="2" a="1"/>
  <c r="E38" i="2" s="1"/>
  <c r="E39" i="2" a="1"/>
  <c r="E39" i="2" s="1"/>
  <c r="E40" i="2" a="1"/>
  <c r="E40" i="2" s="1"/>
  <c r="E41" i="2" a="1"/>
  <c r="E41" i="2" s="1"/>
  <c r="E42" i="2" a="1"/>
  <c r="E42" i="2" s="1"/>
  <c r="E43" i="2" a="1"/>
  <c r="E43" i="2" s="1"/>
  <c r="E44" i="2" a="1"/>
  <c r="E44" i="2" s="1"/>
  <c r="E45" i="2" a="1"/>
  <c r="E45" i="2" s="1"/>
  <c r="E46" i="2" a="1"/>
  <c r="E46" i="2" s="1"/>
  <c r="E47" i="2" a="1"/>
  <c r="E47" i="2" s="1"/>
  <c r="E48" i="2" a="1"/>
  <c r="E48" i="2" s="1"/>
  <c r="E49" i="2" a="1"/>
  <c r="E49" i="2" s="1"/>
  <c r="E50" i="2" a="1"/>
  <c r="E50" i="2" s="1"/>
  <c r="E51" i="2" a="1"/>
  <c r="E51" i="2" s="1"/>
  <c r="E52" i="2" a="1"/>
  <c r="E52" i="2" s="1"/>
  <c r="E53" i="2" a="1"/>
  <c r="E53" i="2" s="1"/>
  <c r="E54" i="2" a="1"/>
  <c r="E54" i="2" s="1"/>
  <c r="E55" i="2" a="1"/>
  <c r="E55" i="2" s="1"/>
  <c r="E56" i="2" a="1"/>
  <c r="E56" i="2" s="1"/>
  <c r="E57" i="2" a="1"/>
  <c r="E57" i="2" s="1"/>
  <c r="E58" i="2" a="1"/>
  <c r="E58" i="2" s="1"/>
  <c r="E59" i="2" a="1"/>
  <c r="E59" i="2" s="1"/>
  <c r="E60" i="2" a="1"/>
  <c r="E60" i="2" s="1"/>
  <c r="E61" i="2" a="1"/>
  <c r="E61" i="2" s="1"/>
  <c r="E62" i="2" a="1"/>
  <c r="E62" i="2" s="1"/>
  <c r="E63" i="2" a="1"/>
  <c r="E63" i="2" s="1"/>
  <c r="E64" i="2" a="1"/>
  <c r="E64" i="2" s="1"/>
  <c r="E65" i="2" a="1"/>
  <c r="E65" i="2" s="1"/>
  <c r="E66" i="2" a="1"/>
  <c r="E66" i="2" s="1"/>
  <c r="E67" i="2" a="1"/>
  <c r="E67" i="2" s="1"/>
  <c r="E68" i="2" a="1"/>
  <c r="E68" i="2" s="1"/>
  <c r="E69" i="2" a="1"/>
  <c r="E69" i="2" s="1"/>
  <c r="E70" i="2" a="1"/>
  <c r="E70" i="2" s="1"/>
  <c r="E71" i="2" a="1"/>
  <c r="E71" i="2" s="1"/>
  <c r="E72" i="2" a="1"/>
  <c r="E72" i="2" s="1"/>
  <c r="E73" i="2" a="1"/>
  <c r="E73" i="2" s="1"/>
  <c r="E74" i="2" a="1"/>
  <c r="E74" i="2" s="1"/>
  <c r="E75" i="2" a="1"/>
  <c r="E75" i="2" s="1"/>
  <c r="E76" i="2" a="1"/>
  <c r="E76" i="2" s="1"/>
  <c r="E77" i="2" a="1"/>
  <c r="E77" i="2" s="1"/>
  <c r="E78" i="2" a="1"/>
  <c r="E78" i="2" s="1"/>
  <c r="E79" i="2" a="1"/>
  <c r="E79" i="2" s="1"/>
  <c r="E80" i="2" a="1"/>
  <c r="E80" i="2" s="1"/>
  <c r="E81" i="2" a="1"/>
  <c r="E81" i="2" s="1"/>
  <c r="E82" i="2" a="1"/>
  <c r="E82" i="2" s="1"/>
  <c r="O11" i="1"/>
  <c r="G5" i="2" s="1" a="1"/>
  <c r="G5" i="2" s="1"/>
  <c r="O12" i="1"/>
  <c r="G6" i="2" s="1" a="1"/>
  <c r="G6" i="2" s="1"/>
  <c r="O13" i="1"/>
  <c r="G7" i="2" s="1" a="1"/>
  <c r="G7" i="2" s="1"/>
  <c r="O14" i="1"/>
  <c r="U14" i="1" s="1"/>
  <c r="D8" i="2" s="1" a="1"/>
  <c r="D8" i="2" s="1"/>
  <c r="O15" i="1"/>
  <c r="O16" i="1"/>
  <c r="G10" i="2" s="1" a="1"/>
  <c r="G10" i="2" s="1"/>
  <c r="O17" i="1"/>
  <c r="G11" i="2" s="1" a="1"/>
  <c r="G11" i="2" s="1"/>
  <c r="O18" i="1"/>
  <c r="O19" i="1"/>
  <c r="O20" i="1"/>
  <c r="G14" i="2" s="1" a="1"/>
  <c r="G14" i="2" s="1"/>
  <c r="O21" i="1"/>
  <c r="G15" i="2" s="1" a="1"/>
  <c r="G15" i="2" s="1"/>
  <c r="O22" i="1"/>
  <c r="G16" i="2" s="1" a="1"/>
  <c r="G16" i="2" s="1"/>
  <c r="O23" i="1"/>
  <c r="U23" i="1" s="1"/>
  <c r="D17" i="2" s="1" a="1"/>
  <c r="D17" i="2" s="1"/>
  <c r="O24" i="1"/>
  <c r="G18" i="2" s="1" a="1"/>
  <c r="G18" i="2" s="1"/>
  <c r="O25" i="1"/>
  <c r="O26" i="1"/>
  <c r="G20" i="2" s="1" a="1"/>
  <c r="G20" i="2" s="1"/>
  <c r="O27" i="1"/>
  <c r="U27" i="1" s="1"/>
  <c r="D21" i="2" s="1" a="1"/>
  <c r="D21" i="2" s="1"/>
  <c r="O28" i="1"/>
  <c r="G22" i="2" s="1" a="1"/>
  <c r="G22" i="2" s="1"/>
  <c r="O29" i="1"/>
  <c r="O30" i="1"/>
  <c r="G24" i="2" s="1" a="1"/>
  <c r="G24" i="2" s="1"/>
  <c r="O31" i="1"/>
  <c r="G25" i="2" s="1" a="1"/>
  <c r="G25" i="2" s="1"/>
  <c r="O32" i="1"/>
  <c r="O33" i="1"/>
  <c r="G27" i="2" s="1" a="1"/>
  <c r="G27" i="2" s="1"/>
  <c r="O34" i="1"/>
  <c r="U34" i="1" s="1"/>
  <c r="D28" i="2" s="1" a="1"/>
  <c r="D28" i="2" s="1"/>
  <c r="O35" i="1"/>
  <c r="G29" i="2" s="1" a="1"/>
  <c r="G29" i="2" s="1"/>
  <c r="O36" i="1"/>
  <c r="G30" i="2" s="1" a="1"/>
  <c r="G30" i="2" s="1"/>
  <c r="O37" i="1"/>
  <c r="U37" i="1" s="1"/>
  <c r="D31" i="2" s="1" a="1"/>
  <c r="D31" i="2" s="1"/>
  <c r="O38" i="1"/>
  <c r="U38" i="1" s="1"/>
  <c r="D32" i="2" s="1" a="1"/>
  <c r="D32" i="2" s="1"/>
  <c r="O39" i="1"/>
  <c r="G33" i="2" s="1" a="1"/>
  <c r="G33" i="2" s="1"/>
  <c r="O40" i="1"/>
  <c r="U40" i="1" s="1"/>
  <c r="D34" i="2" s="1" a="1"/>
  <c r="D34" i="2" s="1"/>
  <c r="O41" i="1"/>
  <c r="G35" i="2" s="1" a="1"/>
  <c r="G35" i="2" s="1"/>
  <c r="O42" i="1"/>
  <c r="G36" i="2" s="1" a="1"/>
  <c r="G36" i="2" s="1"/>
  <c r="O43" i="1"/>
  <c r="G37" i="2" s="1" a="1"/>
  <c r="G37" i="2" s="1"/>
  <c r="O44" i="1"/>
  <c r="G38" i="2" s="1" a="1"/>
  <c r="G38" i="2" s="1"/>
  <c r="O45" i="1"/>
  <c r="O46" i="1"/>
  <c r="O47" i="1"/>
  <c r="U47" i="1" s="1"/>
  <c r="D41" i="2" s="1" a="1"/>
  <c r="D41" i="2" s="1"/>
  <c r="O48" i="1"/>
  <c r="G42" i="2" s="1" a="1"/>
  <c r="G42" i="2" s="1"/>
  <c r="O49" i="1"/>
  <c r="O50" i="1"/>
  <c r="G44" i="2" s="1" a="1"/>
  <c r="G44" i="2" s="1"/>
  <c r="O51" i="1"/>
  <c r="U51" i="1" s="1"/>
  <c r="D45" i="2" s="1" a="1"/>
  <c r="D45" i="2" s="1"/>
  <c r="O52" i="1"/>
  <c r="U52" i="1" s="1"/>
  <c r="D46" i="2" s="1" a="1"/>
  <c r="D46" i="2" s="1"/>
  <c r="O53" i="1"/>
  <c r="G47" i="2" s="1" a="1"/>
  <c r="G47" i="2" s="1"/>
  <c r="O54" i="1"/>
  <c r="G48" i="2" s="1" a="1"/>
  <c r="G48" i="2" s="1"/>
  <c r="O55" i="1"/>
  <c r="G49" i="2" s="1" a="1"/>
  <c r="G49" i="2" s="1"/>
  <c r="O56" i="1"/>
  <c r="G50" i="2" s="1" a="1"/>
  <c r="G50" i="2" s="1"/>
  <c r="O57" i="1"/>
  <c r="G51" i="2" s="1" a="1"/>
  <c r="G51" i="2" s="1"/>
  <c r="O58" i="1"/>
  <c r="G52" i="2" s="1" a="1"/>
  <c r="G52" i="2" s="1"/>
  <c r="O59" i="1"/>
  <c r="O60" i="1"/>
  <c r="O61" i="1"/>
  <c r="U61" i="1" s="1"/>
  <c r="D55" i="2" s="1" a="1"/>
  <c r="D55" i="2" s="1"/>
  <c r="O62" i="1"/>
  <c r="G56" i="2" s="1" a="1"/>
  <c r="G56" i="2" s="1"/>
  <c r="O63" i="1"/>
  <c r="G57" i="2" s="1" a="1"/>
  <c r="G57" i="2" s="1"/>
  <c r="O64" i="1"/>
  <c r="G58" i="2" s="1" a="1"/>
  <c r="G58" i="2" s="1"/>
  <c r="O65" i="1"/>
  <c r="G59" i="2" s="1" a="1"/>
  <c r="G59" i="2" s="1"/>
  <c r="O66" i="1"/>
  <c r="G60" i="2" s="1" a="1"/>
  <c r="G60" i="2" s="1"/>
  <c r="O67" i="1"/>
  <c r="U67" i="1" s="1"/>
  <c r="D61" i="2" s="1" a="1"/>
  <c r="D61" i="2" s="1"/>
  <c r="O68" i="1"/>
  <c r="G62" i="2" s="1" a="1"/>
  <c r="G62" i="2" s="1"/>
  <c r="O69" i="1"/>
  <c r="G63" i="2" s="1" a="1"/>
  <c r="G63" i="2" s="1"/>
  <c r="O70" i="1"/>
  <c r="O71" i="1"/>
  <c r="G65" i="2" s="1" a="1"/>
  <c r="G65" i="2" s="1"/>
  <c r="O72" i="1"/>
  <c r="G66" i="2" s="1" a="1"/>
  <c r="G66" i="2" s="1"/>
  <c r="O73" i="1"/>
  <c r="G67" i="2" s="1" a="1"/>
  <c r="G67" i="2" s="1"/>
  <c r="O74" i="1"/>
  <c r="O75" i="1"/>
  <c r="U75" i="1" s="1"/>
  <c r="D69" i="2" s="1" a="1"/>
  <c r="D69" i="2" s="1"/>
  <c r="O76" i="1"/>
  <c r="O77" i="1"/>
  <c r="G71" i="2" s="1" a="1"/>
  <c r="G71" i="2" s="1"/>
  <c r="O78" i="1"/>
  <c r="G72" i="2" s="1" a="1"/>
  <c r="G72" i="2" s="1"/>
  <c r="O79" i="1"/>
  <c r="U79" i="1" s="1"/>
  <c r="D73" i="2" s="1" a="1"/>
  <c r="D73" i="2" s="1"/>
  <c r="O80" i="1"/>
  <c r="G74" i="2" s="1" a="1"/>
  <c r="G74" i="2" s="1"/>
  <c r="O81" i="1"/>
  <c r="G75" i="2" s="1" a="1"/>
  <c r="G75" i="2" s="1"/>
  <c r="O82" i="1"/>
  <c r="G76" i="2" s="1" a="1"/>
  <c r="G76" i="2" s="1"/>
  <c r="O83" i="1"/>
  <c r="G77" i="2" s="1" a="1"/>
  <c r="G77" i="2" s="1"/>
  <c r="O84" i="1"/>
  <c r="U84" i="1" s="1"/>
  <c r="D78" i="2" s="1" a="1"/>
  <c r="D78" i="2" s="1"/>
  <c r="O85" i="1"/>
  <c r="O86" i="1"/>
  <c r="G80" i="2" s="1" a="1"/>
  <c r="G80" i="2" s="1"/>
  <c r="O87" i="1"/>
  <c r="G81" i="2" s="1" a="1"/>
  <c r="G81" i="2" s="1"/>
  <c r="O10" i="1"/>
  <c r="U58" i="1" l="1"/>
  <c r="D52" i="2" s="1" a="1"/>
  <c r="D52" i="2" s="1"/>
  <c r="U17" i="1"/>
  <c r="D11" i="2" s="1" a="1"/>
  <c r="D11" i="2" s="1"/>
  <c r="U87" i="1"/>
  <c r="D81" i="2" s="1" a="1"/>
  <c r="D81" i="2" s="1"/>
  <c r="U78" i="1"/>
  <c r="D72" i="2" s="1" a="1"/>
  <c r="D72" i="2" s="1"/>
  <c r="U22" i="1"/>
  <c r="D16" i="2" s="1" a="1"/>
  <c r="D16" i="2" s="1"/>
  <c r="U63" i="1"/>
  <c r="D57" i="2" s="1" a="1"/>
  <c r="D57" i="2" s="1"/>
  <c r="U50" i="1"/>
  <c r="D44" i="2" s="1" a="1"/>
  <c r="D44" i="2" s="1"/>
  <c r="U64" i="1"/>
  <c r="D58" i="2" s="1" a="1"/>
  <c r="D58" i="2" s="1"/>
  <c r="U36" i="1"/>
  <c r="D30" i="2" s="1" a="1"/>
  <c r="D30" i="2" s="1"/>
  <c r="U31" i="1"/>
  <c r="D25" i="2" s="1" a="1"/>
  <c r="D25" i="2" s="1"/>
  <c r="U30" i="1"/>
  <c r="D24" i="2" s="1" a="1"/>
  <c r="D24" i="2" s="1"/>
  <c r="U66" i="1"/>
  <c r="D60" i="2" s="1" a="1"/>
  <c r="D60" i="2" s="1"/>
  <c r="U48" i="1"/>
  <c r="D42" i="2" s="1" a="1"/>
  <c r="D42" i="2" s="1"/>
  <c r="U35" i="1"/>
  <c r="D29" i="2" s="1" a="1"/>
  <c r="D29" i="2" s="1"/>
  <c r="G46" i="2" a="1"/>
  <c r="G46" i="2" s="1"/>
  <c r="U68" i="1"/>
  <c r="D62" i="2" s="1" a="1"/>
  <c r="D62" i="2" s="1"/>
  <c r="G41" i="2" a="1"/>
  <c r="G41" i="2" s="1"/>
  <c r="G32" i="2" a="1"/>
  <c r="G32" i="2" s="1"/>
  <c r="U83" i="1"/>
  <c r="D77" i="2" s="1" a="1"/>
  <c r="D77" i="2" s="1"/>
  <c r="U53" i="1"/>
  <c r="D47" i="2" s="1" a="1"/>
  <c r="D47" i="2" s="1"/>
  <c r="U24" i="1"/>
  <c r="D18" i="2" s="1" a="1"/>
  <c r="D18" i="2" s="1"/>
  <c r="G31" i="2" a="1"/>
  <c r="G31" i="2" s="1"/>
  <c r="U82" i="1"/>
  <c r="D76" i="2" s="1" a="1"/>
  <c r="D76" i="2" s="1"/>
  <c r="G34" i="2" a="1"/>
  <c r="G34" i="2" s="1"/>
  <c r="U80" i="1"/>
  <c r="D74" i="2" s="1" a="1"/>
  <c r="D74" i="2" s="1"/>
  <c r="U21" i="1"/>
  <c r="D15" i="2" s="1" a="1"/>
  <c r="D15" i="2" s="1"/>
  <c r="G21" i="2" a="1"/>
  <c r="G21" i="2" s="1"/>
  <c r="U86" i="1"/>
  <c r="D80" i="2" s="1" a="1"/>
  <c r="D80" i="2" s="1"/>
  <c r="U54" i="1"/>
  <c r="D48" i="2" s="1" a="1"/>
  <c r="D48" i="2" s="1"/>
  <c r="U26" i="1"/>
  <c r="D20" i="2" s="1" a="1"/>
  <c r="D20" i="2" s="1"/>
  <c r="U77" i="1"/>
  <c r="D71" i="2" s="1" a="1"/>
  <c r="D71" i="2" s="1"/>
  <c r="U16" i="1"/>
  <c r="D10" i="2" s="1" a="1"/>
  <c r="D10" i="2" s="1"/>
  <c r="G69" i="2" a="1"/>
  <c r="G69" i="2" s="1"/>
  <c r="U73" i="1"/>
  <c r="D67" i="2" s="1" a="1"/>
  <c r="D67" i="2" s="1"/>
  <c r="U44" i="1"/>
  <c r="D38" i="2" s="1" a="1"/>
  <c r="D38" i="2" s="1"/>
  <c r="U13" i="1"/>
  <c r="D7" i="2" s="1" a="1"/>
  <c r="D7" i="2" s="1"/>
  <c r="U72" i="1"/>
  <c r="D66" i="2" s="1" a="1"/>
  <c r="D66" i="2" s="1"/>
  <c r="U41" i="1"/>
  <c r="D35" i="2" s="1" a="1"/>
  <c r="D35" i="2" s="1"/>
  <c r="U12" i="1"/>
  <c r="D6" i="2" s="1" a="1"/>
  <c r="D6" i="2" s="1"/>
  <c r="U69" i="1"/>
  <c r="D63" i="2" s="1" a="1"/>
  <c r="D63" i="2" s="1"/>
  <c r="G55" i="2" a="1"/>
  <c r="G55" i="2" s="1"/>
  <c r="U42" i="1"/>
  <c r="D36" i="2" s="1" a="1"/>
  <c r="D36" i="2" s="1"/>
  <c r="U19" i="1"/>
  <c r="D13" i="2" s="1" a="1"/>
  <c r="D13" i="2" s="1"/>
  <c r="G13" i="2" a="1"/>
  <c r="G13" i="2" s="1"/>
  <c r="U81" i="1"/>
  <c r="D75" i="2" s="1" a="1"/>
  <c r="D75" i="2" s="1"/>
  <c r="U62" i="1"/>
  <c r="D56" i="2" s="1" a="1"/>
  <c r="D56" i="2" s="1"/>
  <c r="G4" i="2" a="1"/>
  <c r="G4" i="2" s="1"/>
  <c r="U10" i="1"/>
  <c r="D4" i="2" s="1" a="1"/>
  <c r="D4" i="2" s="1"/>
  <c r="U74" i="1"/>
  <c r="D68" i="2" s="1" a="1"/>
  <c r="D68" i="2" s="1"/>
  <c r="G68" i="2" a="1"/>
  <c r="G68" i="2" s="1"/>
  <c r="G54" i="2" a="1"/>
  <c r="G54" i="2" s="1"/>
  <c r="U60" i="1"/>
  <c r="D54" i="2" s="1" a="1"/>
  <c r="D54" i="2" s="1"/>
  <c r="U46" i="1"/>
  <c r="D40" i="2" s="1" a="1"/>
  <c r="D40" i="2" s="1"/>
  <c r="G40" i="2" a="1"/>
  <c r="G40" i="2" s="1"/>
  <c r="U32" i="1"/>
  <c r="D26" i="2" s="1" a="1"/>
  <c r="D26" i="2" s="1"/>
  <c r="G26" i="2" a="1"/>
  <c r="G26" i="2" s="1"/>
  <c r="U18" i="1"/>
  <c r="D12" i="2" s="1" a="1"/>
  <c r="D12" i="2" s="1"/>
  <c r="G12" i="2" a="1"/>
  <c r="G12" i="2" s="1"/>
  <c r="U39" i="1"/>
  <c r="D33" i="2" s="1" a="1"/>
  <c r="D33" i="2" s="1"/>
  <c r="G53" i="2" a="1"/>
  <c r="G53" i="2" s="1"/>
  <c r="U59" i="1"/>
  <c r="D53" i="2" s="1" a="1"/>
  <c r="D53" i="2" s="1"/>
  <c r="G39" i="2" a="1"/>
  <c r="G39" i="2" s="1"/>
  <c r="U45" i="1"/>
  <c r="D39" i="2" s="1" a="1"/>
  <c r="D39" i="2" s="1"/>
  <c r="U57" i="1"/>
  <c r="D51" i="2" s="1" a="1"/>
  <c r="D51" i="2" s="1"/>
  <c r="U20" i="1"/>
  <c r="D14" i="2" s="1" a="1"/>
  <c r="D14" i="2" s="1"/>
  <c r="G64" i="2" a="1"/>
  <c r="G64" i="2" s="1"/>
  <c r="U70" i="1"/>
  <c r="D64" i="2" s="1" a="1"/>
  <c r="D64" i="2" s="1"/>
  <c r="G8" i="2" a="1"/>
  <c r="G8" i="2" s="1"/>
  <c r="U56" i="1"/>
  <c r="D50" i="2" s="1" a="1"/>
  <c r="D50" i="2" s="1"/>
  <c r="G78" i="2" a="1"/>
  <c r="G78" i="2" s="1"/>
  <c r="G17" i="2" a="1"/>
  <c r="G17" i="2" s="1"/>
  <c r="G79" i="2" a="1"/>
  <c r="G79" i="2" s="1"/>
  <c r="U85" i="1"/>
  <c r="D79" i="2" s="1" a="1"/>
  <c r="D79" i="2" s="1"/>
  <c r="G23" i="2" a="1"/>
  <c r="G23" i="2" s="1"/>
  <c r="U29" i="1"/>
  <c r="D23" i="2" s="1" a="1"/>
  <c r="D23" i="2" s="1"/>
  <c r="G9" i="2" a="1"/>
  <c r="G9" i="2" s="1"/>
  <c r="U15" i="1"/>
  <c r="D9" i="2" s="1" a="1"/>
  <c r="D9" i="2" s="1"/>
  <c r="G45" i="2" a="1"/>
  <c r="G45" i="2" s="1"/>
  <c r="U71" i="1"/>
  <c r="D65" i="2" s="1" a="1"/>
  <c r="D65" i="2" s="1"/>
  <c r="U33" i="1"/>
  <c r="D27" i="2" s="1" a="1"/>
  <c r="D27" i="2" s="1"/>
  <c r="G73" i="2" a="1"/>
  <c r="G73" i="2" s="1"/>
  <c r="U11" i="1"/>
  <c r="D5" i="2" s="1" a="1"/>
  <c r="D5" i="2" s="1"/>
  <c r="G61" i="2" a="1"/>
  <c r="G61" i="2" s="1"/>
  <c r="U65" i="1"/>
  <c r="D59" i="2" s="1" a="1"/>
  <c r="D59" i="2" s="1"/>
  <c r="G43" i="2" a="1"/>
  <c r="G43" i="2" s="1"/>
  <c r="U49" i="1"/>
  <c r="D43" i="2" s="1" a="1"/>
  <c r="D43" i="2" s="1"/>
  <c r="U43" i="1"/>
  <c r="D37" i="2" s="1" a="1"/>
  <c r="D37" i="2" s="1"/>
  <c r="U28" i="1"/>
  <c r="D22" i="2" s="1" a="1"/>
  <c r="D22" i="2" s="1"/>
  <c r="G19" i="2" a="1"/>
  <c r="G19" i="2" s="1"/>
  <c r="U25" i="1"/>
  <c r="D19" i="2" s="1" a="1"/>
  <c r="D19" i="2" s="1"/>
  <c r="G70" i="2" a="1"/>
  <c r="G70" i="2" s="1"/>
  <c r="U76" i="1"/>
  <c r="D70" i="2" s="1" a="1"/>
  <c r="D70" i="2" s="1"/>
  <c r="G28" i="2" a="1"/>
  <c r="G28" i="2" s="1"/>
  <c r="U55" i="1"/>
  <c r="D49" i="2" s="1" a="1"/>
  <c r="D49" i="2" s="1"/>
  <c r="T87" i="1"/>
  <c r="G471" i="2" s="1" a="1"/>
  <c r="G471" i="2" s="1"/>
  <c r="S87" i="1"/>
  <c r="G393" i="2" s="1" a="1"/>
  <c r="G393" i="2" s="1"/>
  <c r="R87" i="1"/>
  <c r="G315" i="2" s="1" a="1"/>
  <c r="G315" i="2" s="1"/>
  <c r="Q87" i="1"/>
  <c r="G237" i="2" s="1" a="1"/>
  <c r="G237" i="2" s="1"/>
  <c r="P87" i="1"/>
  <c r="G159" i="2" s="1" a="1"/>
  <c r="G159" i="2" s="1"/>
  <c r="T86" i="1"/>
  <c r="G470" i="2" s="1" a="1"/>
  <c r="G470" i="2" s="1"/>
  <c r="S86" i="1"/>
  <c r="G392" i="2" s="1" a="1"/>
  <c r="G392" i="2" s="1"/>
  <c r="R86" i="1"/>
  <c r="G314" i="2" s="1" a="1"/>
  <c r="G314" i="2" s="1"/>
  <c r="Q86" i="1"/>
  <c r="G236" i="2" s="1" a="1"/>
  <c r="G236" i="2" s="1"/>
  <c r="P86" i="1"/>
  <c r="G158" i="2" s="1" a="1"/>
  <c r="G158" i="2" s="1"/>
  <c r="T85" i="1"/>
  <c r="G469" i="2" s="1" a="1"/>
  <c r="G469" i="2" s="1"/>
  <c r="S85" i="1"/>
  <c r="G391" i="2" s="1" a="1"/>
  <c r="G391" i="2" s="1"/>
  <c r="R85" i="1"/>
  <c r="G313" i="2" s="1" a="1"/>
  <c r="G313" i="2" s="1"/>
  <c r="Q85" i="1"/>
  <c r="G235" i="2" s="1" a="1"/>
  <c r="G235" i="2" s="1"/>
  <c r="P85" i="1"/>
  <c r="G157" i="2" s="1" a="1"/>
  <c r="G157" i="2" s="1"/>
  <c r="T84" i="1"/>
  <c r="G468" i="2" s="1" a="1"/>
  <c r="G468" i="2" s="1"/>
  <c r="S84" i="1"/>
  <c r="G390" i="2" s="1" a="1"/>
  <c r="G390" i="2" s="1"/>
  <c r="R84" i="1"/>
  <c r="G312" i="2" s="1" a="1"/>
  <c r="G312" i="2" s="1"/>
  <c r="Q84" i="1"/>
  <c r="G234" i="2" s="1" a="1"/>
  <c r="G234" i="2" s="1"/>
  <c r="P84" i="1"/>
  <c r="G156" i="2" s="1" a="1"/>
  <c r="G156" i="2" s="1"/>
  <c r="T83" i="1"/>
  <c r="G467" i="2" s="1" a="1"/>
  <c r="G467" i="2" s="1"/>
  <c r="S83" i="1"/>
  <c r="G389" i="2" s="1" a="1"/>
  <c r="G389" i="2" s="1"/>
  <c r="R83" i="1"/>
  <c r="G311" i="2" s="1" a="1"/>
  <c r="G311" i="2" s="1"/>
  <c r="Q83" i="1"/>
  <c r="G233" i="2" s="1" a="1"/>
  <c r="G233" i="2" s="1"/>
  <c r="P83" i="1"/>
  <c r="G155" i="2" s="1" a="1"/>
  <c r="G155" i="2" s="1"/>
  <c r="T82" i="1"/>
  <c r="G466" i="2" s="1" a="1"/>
  <c r="G466" i="2" s="1"/>
  <c r="S82" i="1"/>
  <c r="G388" i="2" s="1" a="1"/>
  <c r="G388" i="2" s="1"/>
  <c r="R82" i="1"/>
  <c r="G310" i="2" s="1" a="1"/>
  <c r="G310" i="2" s="1"/>
  <c r="Q82" i="1"/>
  <c r="G232" i="2" s="1" a="1"/>
  <c r="G232" i="2" s="1"/>
  <c r="P82" i="1"/>
  <c r="G154" i="2" s="1" a="1"/>
  <c r="G154" i="2" s="1"/>
  <c r="T81" i="1"/>
  <c r="G465" i="2" s="1" a="1"/>
  <c r="G465" i="2" s="1"/>
  <c r="S81" i="1"/>
  <c r="G387" i="2" s="1" a="1"/>
  <c r="G387" i="2" s="1"/>
  <c r="R81" i="1"/>
  <c r="G309" i="2" s="1" a="1"/>
  <c r="G309" i="2" s="1"/>
  <c r="Q81" i="1"/>
  <c r="G231" i="2" s="1" a="1"/>
  <c r="G231" i="2" s="1"/>
  <c r="P81" i="1"/>
  <c r="G153" i="2" s="1" a="1"/>
  <c r="G153" i="2" s="1"/>
  <c r="T80" i="1"/>
  <c r="G464" i="2" s="1" a="1"/>
  <c r="G464" i="2" s="1"/>
  <c r="S80" i="1"/>
  <c r="G386" i="2" s="1" a="1"/>
  <c r="G386" i="2" s="1"/>
  <c r="R80" i="1"/>
  <c r="G308" i="2" s="1" a="1"/>
  <c r="G308" i="2" s="1"/>
  <c r="Q80" i="1"/>
  <c r="G230" i="2" s="1" a="1"/>
  <c r="G230" i="2" s="1"/>
  <c r="P80" i="1"/>
  <c r="G152" i="2" s="1" a="1"/>
  <c r="G152" i="2" s="1"/>
  <c r="T79" i="1"/>
  <c r="G463" i="2" s="1" a="1"/>
  <c r="G463" i="2" s="1"/>
  <c r="S79" i="1"/>
  <c r="G385" i="2" s="1" a="1"/>
  <c r="G385" i="2" s="1"/>
  <c r="R79" i="1"/>
  <c r="G307" i="2" s="1" a="1"/>
  <c r="G307" i="2" s="1"/>
  <c r="Q79" i="1"/>
  <c r="G229" i="2" s="1" a="1"/>
  <c r="G229" i="2" s="1"/>
  <c r="P79" i="1"/>
  <c r="G151" i="2" s="1" a="1"/>
  <c r="G151" i="2" s="1"/>
  <c r="T78" i="1"/>
  <c r="G462" i="2" s="1" a="1"/>
  <c r="G462" i="2" s="1"/>
  <c r="S78" i="1"/>
  <c r="G384" i="2" s="1" a="1"/>
  <c r="G384" i="2" s="1"/>
  <c r="R78" i="1"/>
  <c r="G306" i="2" s="1" a="1"/>
  <c r="G306" i="2" s="1"/>
  <c r="Q78" i="1"/>
  <c r="G228" i="2" s="1" a="1"/>
  <c r="G228" i="2" s="1"/>
  <c r="P78" i="1"/>
  <c r="G150" i="2" s="1" a="1"/>
  <c r="G150" i="2" s="1"/>
  <c r="T77" i="1"/>
  <c r="G461" i="2" s="1" a="1"/>
  <c r="G461" i="2" s="1"/>
  <c r="S77" i="1"/>
  <c r="G383" i="2" s="1" a="1"/>
  <c r="G383" i="2" s="1"/>
  <c r="R77" i="1"/>
  <c r="G305" i="2" s="1" a="1"/>
  <c r="G305" i="2" s="1"/>
  <c r="Q77" i="1"/>
  <c r="G227" i="2" s="1" a="1"/>
  <c r="G227" i="2" s="1"/>
  <c r="P77" i="1"/>
  <c r="G149" i="2" s="1" a="1"/>
  <c r="G149" i="2" s="1"/>
  <c r="T76" i="1"/>
  <c r="G460" i="2" s="1" a="1"/>
  <c r="G460" i="2" s="1"/>
  <c r="S76" i="1"/>
  <c r="G382" i="2" s="1" a="1"/>
  <c r="G382" i="2" s="1"/>
  <c r="R76" i="1"/>
  <c r="G304" i="2" s="1" a="1"/>
  <c r="G304" i="2" s="1"/>
  <c r="Q76" i="1"/>
  <c r="G226" i="2" s="1" a="1"/>
  <c r="G226" i="2" s="1"/>
  <c r="P76" i="1"/>
  <c r="G148" i="2" s="1" a="1"/>
  <c r="G148" i="2" s="1"/>
  <c r="T75" i="1"/>
  <c r="G459" i="2" s="1" a="1"/>
  <c r="G459" i="2" s="1"/>
  <c r="S75" i="1"/>
  <c r="G381" i="2" s="1" a="1"/>
  <c r="G381" i="2" s="1"/>
  <c r="R75" i="1"/>
  <c r="G303" i="2" s="1" a="1"/>
  <c r="G303" i="2" s="1"/>
  <c r="Q75" i="1"/>
  <c r="G225" i="2" s="1" a="1"/>
  <c r="G225" i="2" s="1"/>
  <c r="P75" i="1"/>
  <c r="G147" i="2" s="1" a="1"/>
  <c r="G147" i="2" s="1"/>
  <c r="T74" i="1"/>
  <c r="G458" i="2" s="1" a="1"/>
  <c r="G458" i="2" s="1"/>
  <c r="S74" i="1"/>
  <c r="G380" i="2" s="1" a="1"/>
  <c r="G380" i="2" s="1"/>
  <c r="R74" i="1"/>
  <c r="G302" i="2" s="1" a="1"/>
  <c r="G302" i="2" s="1"/>
  <c r="Q74" i="1"/>
  <c r="G224" i="2" s="1" a="1"/>
  <c r="G224" i="2" s="1"/>
  <c r="P74" i="1"/>
  <c r="G146" i="2" s="1" a="1"/>
  <c r="G146" i="2" s="1"/>
  <c r="T73" i="1"/>
  <c r="G457" i="2" s="1" a="1"/>
  <c r="G457" i="2" s="1"/>
  <c r="S73" i="1"/>
  <c r="G379" i="2" s="1" a="1"/>
  <c r="G379" i="2" s="1"/>
  <c r="R73" i="1"/>
  <c r="G301" i="2" s="1" a="1"/>
  <c r="G301" i="2" s="1"/>
  <c r="Q73" i="1"/>
  <c r="G223" i="2" s="1" a="1"/>
  <c r="G223" i="2" s="1"/>
  <c r="P73" i="1"/>
  <c r="G145" i="2" s="1" a="1"/>
  <c r="G145" i="2" s="1"/>
  <c r="T72" i="1"/>
  <c r="G456" i="2" s="1" a="1"/>
  <c r="G456" i="2" s="1"/>
  <c r="S72" i="1"/>
  <c r="G378" i="2" s="1" a="1"/>
  <c r="G378" i="2" s="1"/>
  <c r="R72" i="1"/>
  <c r="G300" i="2" s="1" a="1"/>
  <c r="G300" i="2" s="1"/>
  <c r="Q72" i="1"/>
  <c r="G222" i="2" s="1" a="1"/>
  <c r="G222" i="2" s="1"/>
  <c r="P72" i="1"/>
  <c r="G144" i="2" s="1" a="1"/>
  <c r="G144" i="2" s="1"/>
  <c r="T71" i="1"/>
  <c r="G455" i="2" s="1" a="1"/>
  <c r="G455" i="2" s="1"/>
  <c r="S71" i="1"/>
  <c r="G377" i="2" s="1" a="1"/>
  <c r="G377" i="2" s="1"/>
  <c r="R71" i="1"/>
  <c r="G299" i="2" s="1" a="1"/>
  <c r="G299" i="2" s="1"/>
  <c r="Q71" i="1"/>
  <c r="G221" i="2" s="1" a="1"/>
  <c r="G221" i="2" s="1"/>
  <c r="P71" i="1"/>
  <c r="G143" i="2" s="1" a="1"/>
  <c r="G143" i="2" s="1"/>
  <c r="T70" i="1"/>
  <c r="G454" i="2" s="1" a="1"/>
  <c r="G454" i="2" s="1"/>
  <c r="S70" i="1"/>
  <c r="G376" i="2" s="1" a="1"/>
  <c r="G376" i="2" s="1"/>
  <c r="R70" i="1"/>
  <c r="G298" i="2" s="1" a="1"/>
  <c r="G298" i="2" s="1"/>
  <c r="Q70" i="1"/>
  <c r="G220" i="2" s="1" a="1"/>
  <c r="G220" i="2" s="1"/>
  <c r="P70" i="1"/>
  <c r="G142" i="2" s="1" a="1"/>
  <c r="G142" i="2" s="1"/>
  <c r="T69" i="1"/>
  <c r="G453" i="2" s="1" a="1"/>
  <c r="G453" i="2" s="1"/>
  <c r="S69" i="1"/>
  <c r="G375" i="2" s="1" a="1"/>
  <c r="G375" i="2" s="1"/>
  <c r="R69" i="1"/>
  <c r="G297" i="2" s="1" a="1"/>
  <c r="G297" i="2" s="1"/>
  <c r="Q69" i="1"/>
  <c r="G219" i="2" s="1" a="1"/>
  <c r="G219" i="2" s="1"/>
  <c r="P69" i="1"/>
  <c r="G141" i="2" s="1" a="1"/>
  <c r="G141" i="2" s="1"/>
  <c r="T68" i="1"/>
  <c r="G452" i="2" s="1" a="1"/>
  <c r="G452" i="2" s="1"/>
  <c r="S68" i="1"/>
  <c r="G374" i="2" s="1" a="1"/>
  <c r="G374" i="2" s="1"/>
  <c r="R68" i="1"/>
  <c r="G296" i="2" s="1" a="1"/>
  <c r="G296" i="2" s="1"/>
  <c r="Q68" i="1"/>
  <c r="G218" i="2" s="1" a="1"/>
  <c r="G218" i="2" s="1"/>
  <c r="P68" i="1"/>
  <c r="G140" i="2" s="1" a="1"/>
  <c r="G140" i="2" s="1"/>
  <c r="T67" i="1"/>
  <c r="G451" i="2" s="1" a="1"/>
  <c r="G451" i="2" s="1"/>
  <c r="S67" i="1"/>
  <c r="G373" i="2" s="1" a="1"/>
  <c r="G373" i="2" s="1"/>
  <c r="R67" i="1"/>
  <c r="G295" i="2" s="1" a="1"/>
  <c r="G295" i="2" s="1"/>
  <c r="Q67" i="1"/>
  <c r="G217" i="2" s="1" a="1"/>
  <c r="G217" i="2" s="1"/>
  <c r="P67" i="1"/>
  <c r="G139" i="2" s="1" a="1"/>
  <c r="G139" i="2" s="1"/>
  <c r="T66" i="1"/>
  <c r="G450" i="2" s="1" a="1"/>
  <c r="G450" i="2" s="1"/>
  <c r="S66" i="1"/>
  <c r="G372" i="2" s="1" a="1"/>
  <c r="G372" i="2" s="1"/>
  <c r="R66" i="1"/>
  <c r="G294" i="2" s="1" a="1"/>
  <c r="G294" i="2" s="1"/>
  <c r="Q66" i="1"/>
  <c r="G216" i="2" s="1" a="1"/>
  <c r="G216" i="2" s="1"/>
  <c r="P66" i="1"/>
  <c r="G138" i="2" s="1" a="1"/>
  <c r="G138" i="2" s="1"/>
  <c r="T65" i="1"/>
  <c r="G449" i="2" s="1" a="1"/>
  <c r="G449" i="2" s="1"/>
  <c r="S65" i="1"/>
  <c r="G371" i="2" s="1" a="1"/>
  <c r="G371" i="2" s="1"/>
  <c r="R65" i="1"/>
  <c r="G293" i="2" s="1" a="1"/>
  <c r="G293" i="2" s="1"/>
  <c r="Q65" i="1"/>
  <c r="G215" i="2" s="1" a="1"/>
  <c r="G215" i="2" s="1"/>
  <c r="P65" i="1"/>
  <c r="G137" i="2" s="1" a="1"/>
  <c r="G137" i="2" s="1"/>
  <c r="T64" i="1"/>
  <c r="G448" i="2" s="1" a="1"/>
  <c r="G448" i="2" s="1"/>
  <c r="S64" i="1"/>
  <c r="G370" i="2" s="1" a="1"/>
  <c r="G370" i="2" s="1"/>
  <c r="R64" i="1"/>
  <c r="G292" i="2" s="1" a="1"/>
  <c r="G292" i="2" s="1"/>
  <c r="Q64" i="1"/>
  <c r="G214" i="2" s="1" a="1"/>
  <c r="G214" i="2" s="1"/>
  <c r="P64" i="1"/>
  <c r="G136" i="2" s="1" a="1"/>
  <c r="G136" i="2" s="1"/>
  <c r="T63" i="1"/>
  <c r="G447" i="2" s="1" a="1"/>
  <c r="G447" i="2" s="1"/>
  <c r="S63" i="1"/>
  <c r="G369" i="2" s="1" a="1"/>
  <c r="G369" i="2" s="1"/>
  <c r="R63" i="1"/>
  <c r="G291" i="2" s="1" a="1"/>
  <c r="G291" i="2" s="1"/>
  <c r="Q63" i="1"/>
  <c r="G213" i="2" s="1" a="1"/>
  <c r="G213" i="2" s="1"/>
  <c r="P63" i="1"/>
  <c r="G135" i="2" s="1" a="1"/>
  <c r="G135" i="2" s="1"/>
  <c r="T62" i="1"/>
  <c r="G446" i="2" s="1" a="1"/>
  <c r="G446" i="2" s="1"/>
  <c r="S62" i="1"/>
  <c r="G368" i="2" s="1" a="1"/>
  <c r="G368" i="2" s="1"/>
  <c r="R62" i="1"/>
  <c r="G290" i="2" s="1" a="1"/>
  <c r="G290" i="2" s="1"/>
  <c r="Q62" i="1"/>
  <c r="G212" i="2" s="1" a="1"/>
  <c r="G212" i="2" s="1"/>
  <c r="P62" i="1"/>
  <c r="G134" i="2" s="1" a="1"/>
  <c r="G134" i="2" s="1"/>
  <c r="T61" i="1"/>
  <c r="G445" i="2" s="1" a="1"/>
  <c r="G445" i="2" s="1"/>
  <c r="S61" i="1"/>
  <c r="G367" i="2" s="1" a="1"/>
  <c r="G367" i="2" s="1"/>
  <c r="R61" i="1"/>
  <c r="G289" i="2" s="1" a="1"/>
  <c r="G289" i="2" s="1"/>
  <c r="Q61" i="1"/>
  <c r="G211" i="2" s="1" a="1"/>
  <c r="G211" i="2" s="1"/>
  <c r="P61" i="1"/>
  <c r="G133" i="2" s="1" a="1"/>
  <c r="G133" i="2" s="1"/>
  <c r="T60" i="1"/>
  <c r="G444" i="2" s="1" a="1"/>
  <c r="G444" i="2" s="1"/>
  <c r="S60" i="1"/>
  <c r="G366" i="2" s="1" a="1"/>
  <c r="G366" i="2" s="1"/>
  <c r="R60" i="1"/>
  <c r="G288" i="2" s="1" a="1"/>
  <c r="G288" i="2" s="1"/>
  <c r="Q60" i="1"/>
  <c r="G210" i="2" s="1" a="1"/>
  <c r="G210" i="2" s="1"/>
  <c r="P60" i="1"/>
  <c r="G132" i="2" s="1" a="1"/>
  <c r="G132" i="2" s="1"/>
  <c r="T59" i="1"/>
  <c r="G443" i="2" s="1" a="1"/>
  <c r="G443" i="2" s="1"/>
  <c r="S59" i="1"/>
  <c r="G365" i="2" s="1" a="1"/>
  <c r="G365" i="2" s="1"/>
  <c r="R59" i="1"/>
  <c r="G287" i="2" s="1" a="1"/>
  <c r="G287" i="2" s="1"/>
  <c r="Q59" i="1"/>
  <c r="G209" i="2" s="1" a="1"/>
  <c r="G209" i="2" s="1"/>
  <c r="P59" i="1"/>
  <c r="G131" i="2" s="1" a="1"/>
  <c r="G131" i="2" s="1"/>
  <c r="T58" i="1"/>
  <c r="G442" i="2" s="1" a="1"/>
  <c r="G442" i="2" s="1"/>
  <c r="S58" i="1"/>
  <c r="G364" i="2" s="1" a="1"/>
  <c r="G364" i="2" s="1"/>
  <c r="R58" i="1"/>
  <c r="G286" i="2" s="1" a="1"/>
  <c r="G286" i="2" s="1"/>
  <c r="Q58" i="1"/>
  <c r="G208" i="2" s="1" a="1"/>
  <c r="G208" i="2" s="1"/>
  <c r="P58" i="1"/>
  <c r="G130" i="2" s="1" a="1"/>
  <c r="G130" i="2" s="1"/>
  <c r="T57" i="1"/>
  <c r="G441" i="2" s="1" a="1"/>
  <c r="G441" i="2" s="1"/>
  <c r="S57" i="1"/>
  <c r="G363" i="2" s="1" a="1"/>
  <c r="G363" i="2" s="1"/>
  <c r="R57" i="1"/>
  <c r="G285" i="2" s="1" a="1"/>
  <c r="G285" i="2" s="1"/>
  <c r="Q57" i="1"/>
  <c r="G207" i="2" s="1" a="1"/>
  <c r="G207" i="2" s="1"/>
  <c r="P57" i="1"/>
  <c r="G129" i="2" s="1" a="1"/>
  <c r="G129" i="2" s="1"/>
  <c r="T56" i="1"/>
  <c r="G440" i="2" s="1" a="1"/>
  <c r="G440" i="2" s="1"/>
  <c r="S56" i="1"/>
  <c r="G362" i="2" s="1" a="1"/>
  <c r="G362" i="2" s="1"/>
  <c r="R56" i="1"/>
  <c r="G284" i="2" s="1" a="1"/>
  <c r="G284" i="2" s="1"/>
  <c r="Q56" i="1"/>
  <c r="G206" i="2" s="1" a="1"/>
  <c r="G206" i="2" s="1"/>
  <c r="P56" i="1"/>
  <c r="G128" i="2" s="1" a="1"/>
  <c r="G128" i="2" s="1"/>
  <c r="T55" i="1"/>
  <c r="G439" i="2" s="1" a="1"/>
  <c r="G439" i="2" s="1"/>
  <c r="S55" i="1"/>
  <c r="G361" i="2" s="1" a="1"/>
  <c r="G361" i="2" s="1"/>
  <c r="R55" i="1"/>
  <c r="G283" i="2" s="1" a="1"/>
  <c r="G283" i="2" s="1"/>
  <c r="Q55" i="1"/>
  <c r="G205" i="2" s="1" a="1"/>
  <c r="G205" i="2" s="1"/>
  <c r="P55" i="1"/>
  <c r="G127" i="2" s="1" a="1"/>
  <c r="G127" i="2" s="1"/>
  <c r="T54" i="1"/>
  <c r="G438" i="2" s="1" a="1"/>
  <c r="G438" i="2" s="1"/>
  <c r="S54" i="1"/>
  <c r="G360" i="2" s="1" a="1"/>
  <c r="G360" i="2" s="1"/>
  <c r="R54" i="1"/>
  <c r="G282" i="2" s="1" a="1"/>
  <c r="G282" i="2" s="1"/>
  <c r="Q54" i="1"/>
  <c r="G204" i="2" s="1" a="1"/>
  <c r="G204" i="2" s="1"/>
  <c r="P54" i="1"/>
  <c r="G126" i="2" s="1" a="1"/>
  <c r="G126" i="2" s="1"/>
  <c r="T53" i="1"/>
  <c r="G437" i="2" s="1" a="1"/>
  <c r="G437" i="2" s="1"/>
  <c r="S53" i="1"/>
  <c r="G359" i="2" s="1" a="1"/>
  <c r="G359" i="2" s="1"/>
  <c r="R53" i="1"/>
  <c r="G281" i="2" s="1" a="1"/>
  <c r="G281" i="2" s="1"/>
  <c r="Q53" i="1"/>
  <c r="G203" i="2" s="1" a="1"/>
  <c r="G203" i="2" s="1"/>
  <c r="P53" i="1"/>
  <c r="G125" i="2" s="1" a="1"/>
  <c r="G125" i="2" s="1"/>
  <c r="T52" i="1"/>
  <c r="G436" i="2" s="1" a="1"/>
  <c r="G436" i="2" s="1"/>
  <c r="S52" i="1"/>
  <c r="G358" i="2" s="1" a="1"/>
  <c r="G358" i="2" s="1"/>
  <c r="R52" i="1"/>
  <c r="G280" i="2" s="1" a="1"/>
  <c r="G280" i="2" s="1"/>
  <c r="Q52" i="1"/>
  <c r="G202" i="2" s="1" a="1"/>
  <c r="G202" i="2" s="1"/>
  <c r="P52" i="1"/>
  <c r="G124" i="2" s="1" a="1"/>
  <c r="G124" i="2" s="1"/>
  <c r="T51" i="1"/>
  <c r="G435" i="2" s="1" a="1"/>
  <c r="G435" i="2" s="1"/>
  <c r="S51" i="1"/>
  <c r="G357" i="2" s="1" a="1"/>
  <c r="G357" i="2" s="1"/>
  <c r="R51" i="1"/>
  <c r="G279" i="2" s="1" a="1"/>
  <c r="G279" i="2" s="1"/>
  <c r="Q51" i="1"/>
  <c r="G201" i="2" s="1" a="1"/>
  <c r="G201" i="2" s="1"/>
  <c r="P51" i="1"/>
  <c r="G123" i="2" s="1" a="1"/>
  <c r="G123" i="2" s="1"/>
  <c r="T50" i="1"/>
  <c r="G434" i="2" s="1" a="1"/>
  <c r="G434" i="2" s="1"/>
  <c r="S50" i="1"/>
  <c r="G356" i="2" s="1" a="1"/>
  <c r="G356" i="2" s="1"/>
  <c r="R50" i="1"/>
  <c r="G278" i="2" s="1" a="1"/>
  <c r="G278" i="2" s="1"/>
  <c r="Q50" i="1"/>
  <c r="G200" i="2" s="1" a="1"/>
  <c r="G200" i="2" s="1"/>
  <c r="P50" i="1"/>
  <c r="G122" i="2" s="1" a="1"/>
  <c r="G122" i="2" s="1"/>
  <c r="T49" i="1"/>
  <c r="G433" i="2" s="1" a="1"/>
  <c r="G433" i="2" s="1"/>
  <c r="S49" i="1"/>
  <c r="G355" i="2" s="1" a="1"/>
  <c r="G355" i="2" s="1"/>
  <c r="R49" i="1"/>
  <c r="G277" i="2" s="1" a="1"/>
  <c r="G277" i="2" s="1"/>
  <c r="Q49" i="1"/>
  <c r="G199" i="2" s="1" a="1"/>
  <c r="G199" i="2" s="1"/>
  <c r="P49" i="1"/>
  <c r="G121" i="2" s="1" a="1"/>
  <c r="G121" i="2" s="1"/>
  <c r="T48" i="1"/>
  <c r="G432" i="2" s="1" a="1"/>
  <c r="G432" i="2" s="1"/>
  <c r="S48" i="1"/>
  <c r="G354" i="2" s="1" a="1"/>
  <c r="G354" i="2" s="1"/>
  <c r="R48" i="1"/>
  <c r="G276" i="2" s="1" a="1"/>
  <c r="G276" i="2" s="1"/>
  <c r="Q48" i="1"/>
  <c r="G198" i="2" s="1" a="1"/>
  <c r="G198" i="2" s="1"/>
  <c r="P48" i="1"/>
  <c r="G120" i="2" s="1" a="1"/>
  <c r="G120" i="2" s="1"/>
  <c r="T47" i="1"/>
  <c r="G431" i="2" s="1" a="1"/>
  <c r="G431" i="2" s="1"/>
  <c r="S47" i="1"/>
  <c r="G353" i="2" s="1" a="1"/>
  <c r="G353" i="2" s="1"/>
  <c r="R47" i="1"/>
  <c r="G275" i="2" s="1" a="1"/>
  <c r="G275" i="2" s="1"/>
  <c r="Q47" i="1"/>
  <c r="G197" i="2" s="1" a="1"/>
  <c r="G197" i="2" s="1"/>
  <c r="P47" i="1"/>
  <c r="G119" i="2" s="1" a="1"/>
  <c r="G119" i="2" s="1"/>
  <c r="T46" i="1"/>
  <c r="G430" i="2" s="1" a="1"/>
  <c r="G430" i="2" s="1"/>
  <c r="S46" i="1"/>
  <c r="G352" i="2" s="1" a="1"/>
  <c r="G352" i="2" s="1"/>
  <c r="R46" i="1"/>
  <c r="G274" i="2" s="1" a="1"/>
  <c r="G274" i="2" s="1"/>
  <c r="Q46" i="1"/>
  <c r="G196" i="2" s="1" a="1"/>
  <c r="G196" i="2" s="1"/>
  <c r="P46" i="1"/>
  <c r="G118" i="2" s="1" a="1"/>
  <c r="G118" i="2" s="1"/>
  <c r="T45" i="1"/>
  <c r="G429" i="2" s="1" a="1"/>
  <c r="G429" i="2" s="1"/>
  <c r="S45" i="1"/>
  <c r="G351" i="2" s="1" a="1"/>
  <c r="G351" i="2" s="1"/>
  <c r="R45" i="1"/>
  <c r="G273" i="2" s="1" a="1"/>
  <c r="G273" i="2" s="1"/>
  <c r="Q45" i="1"/>
  <c r="G195" i="2" s="1" a="1"/>
  <c r="G195" i="2" s="1"/>
  <c r="P45" i="1"/>
  <c r="G117" i="2" s="1" a="1"/>
  <c r="G117" i="2" s="1"/>
  <c r="T44" i="1"/>
  <c r="G428" i="2" s="1" a="1"/>
  <c r="G428" i="2" s="1"/>
  <c r="S44" i="1"/>
  <c r="G350" i="2" s="1" a="1"/>
  <c r="G350" i="2" s="1"/>
  <c r="R44" i="1"/>
  <c r="G272" i="2" s="1" a="1"/>
  <c r="G272" i="2" s="1"/>
  <c r="Q44" i="1"/>
  <c r="G194" i="2" s="1" a="1"/>
  <c r="G194" i="2" s="1"/>
  <c r="P44" i="1"/>
  <c r="G116" i="2" s="1" a="1"/>
  <c r="G116" i="2" s="1"/>
  <c r="T43" i="1"/>
  <c r="G427" i="2" s="1" a="1"/>
  <c r="G427" i="2" s="1"/>
  <c r="S43" i="1"/>
  <c r="G349" i="2" s="1" a="1"/>
  <c r="G349" i="2" s="1"/>
  <c r="R43" i="1"/>
  <c r="G271" i="2" s="1" a="1"/>
  <c r="G271" i="2" s="1"/>
  <c r="Q43" i="1"/>
  <c r="G193" i="2" s="1" a="1"/>
  <c r="G193" i="2" s="1"/>
  <c r="P43" i="1"/>
  <c r="G115" i="2" s="1" a="1"/>
  <c r="G115" i="2" s="1"/>
  <c r="T42" i="1"/>
  <c r="G426" i="2" s="1" a="1"/>
  <c r="G426" i="2" s="1"/>
  <c r="S42" i="1"/>
  <c r="G348" i="2" s="1" a="1"/>
  <c r="G348" i="2" s="1"/>
  <c r="R42" i="1"/>
  <c r="G270" i="2" s="1" a="1"/>
  <c r="G270" i="2" s="1"/>
  <c r="Q42" i="1"/>
  <c r="G192" i="2" s="1" a="1"/>
  <c r="G192" i="2" s="1"/>
  <c r="P42" i="1"/>
  <c r="G114" i="2" s="1" a="1"/>
  <c r="G114" i="2" s="1"/>
  <c r="T41" i="1"/>
  <c r="G425" i="2" s="1" a="1"/>
  <c r="G425" i="2" s="1"/>
  <c r="S41" i="1"/>
  <c r="G347" i="2" s="1" a="1"/>
  <c r="G347" i="2" s="1"/>
  <c r="R41" i="1"/>
  <c r="G269" i="2" s="1" a="1"/>
  <c r="G269" i="2" s="1"/>
  <c r="Q41" i="1"/>
  <c r="G191" i="2" s="1" a="1"/>
  <c r="G191" i="2" s="1"/>
  <c r="P41" i="1"/>
  <c r="G113" i="2" s="1" a="1"/>
  <c r="G113" i="2" s="1"/>
  <c r="T40" i="1"/>
  <c r="G424" i="2" s="1" a="1"/>
  <c r="G424" i="2" s="1"/>
  <c r="S40" i="1"/>
  <c r="G346" i="2" s="1" a="1"/>
  <c r="G346" i="2" s="1"/>
  <c r="R40" i="1"/>
  <c r="G268" i="2" s="1" a="1"/>
  <c r="G268" i="2" s="1"/>
  <c r="Q40" i="1"/>
  <c r="G190" i="2" s="1" a="1"/>
  <c r="G190" i="2" s="1"/>
  <c r="P40" i="1"/>
  <c r="G112" i="2" s="1" a="1"/>
  <c r="G112" i="2" s="1"/>
  <c r="T39" i="1"/>
  <c r="G423" i="2" s="1" a="1"/>
  <c r="G423" i="2" s="1"/>
  <c r="S39" i="1"/>
  <c r="G345" i="2" s="1" a="1"/>
  <c r="G345" i="2" s="1"/>
  <c r="R39" i="1"/>
  <c r="G267" i="2" s="1" a="1"/>
  <c r="G267" i="2" s="1"/>
  <c r="Q39" i="1"/>
  <c r="G189" i="2" s="1" a="1"/>
  <c r="G189" i="2" s="1"/>
  <c r="P39" i="1"/>
  <c r="G111" i="2" s="1" a="1"/>
  <c r="G111" i="2" s="1"/>
  <c r="T38" i="1"/>
  <c r="G422" i="2" s="1" a="1"/>
  <c r="G422" i="2" s="1"/>
  <c r="S38" i="1"/>
  <c r="G344" i="2" s="1" a="1"/>
  <c r="G344" i="2" s="1"/>
  <c r="R38" i="1"/>
  <c r="G266" i="2" s="1" a="1"/>
  <c r="G266" i="2" s="1"/>
  <c r="Q38" i="1"/>
  <c r="G188" i="2" s="1" a="1"/>
  <c r="G188" i="2" s="1"/>
  <c r="P38" i="1"/>
  <c r="G110" i="2" s="1" a="1"/>
  <c r="G110" i="2" s="1"/>
  <c r="T37" i="1"/>
  <c r="G421" i="2" s="1" a="1"/>
  <c r="G421" i="2" s="1"/>
  <c r="S37" i="1"/>
  <c r="G343" i="2" s="1" a="1"/>
  <c r="G343" i="2" s="1"/>
  <c r="R37" i="1"/>
  <c r="G265" i="2" s="1" a="1"/>
  <c r="G265" i="2" s="1"/>
  <c r="Q37" i="1"/>
  <c r="G187" i="2" s="1" a="1"/>
  <c r="G187" i="2" s="1"/>
  <c r="P37" i="1"/>
  <c r="G109" i="2" s="1" a="1"/>
  <c r="G109" i="2" s="1"/>
  <c r="T36" i="1"/>
  <c r="G420" i="2" s="1" a="1"/>
  <c r="G420" i="2" s="1"/>
  <c r="S36" i="1"/>
  <c r="G342" i="2" s="1" a="1"/>
  <c r="G342" i="2" s="1"/>
  <c r="R36" i="1"/>
  <c r="G264" i="2" s="1" a="1"/>
  <c r="G264" i="2" s="1"/>
  <c r="Q36" i="1"/>
  <c r="G186" i="2" s="1" a="1"/>
  <c r="G186" i="2" s="1"/>
  <c r="P36" i="1"/>
  <c r="G108" i="2" s="1" a="1"/>
  <c r="G108" i="2" s="1"/>
  <c r="T35" i="1"/>
  <c r="G419" i="2" s="1" a="1"/>
  <c r="G419" i="2" s="1"/>
  <c r="S35" i="1"/>
  <c r="G341" i="2" s="1" a="1"/>
  <c r="G341" i="2" s="1"/>
  <c r="R35" i="1"/>
  <c r="G263" i="2" s="1" a="1"/>
  <c r="G263" i="2" s="1"/>
  <c r="Q35" i="1"/>
  <c r="G185" i="2" s="1" a="1"/>
  <c r="G185" i="2" s="1"/>
  <c r="P35" i="1"/>
  <c r="G107" i="2" s="1" a="1"/>
  <c r="G107" i="2" s="1"/>
  <c r="T34" i="1"/>
  <c r="G418" i="2" s="1" a="1"/>
  <c r="G418" i="2" s="1"/>
  <c r="S34" i="1"/>
  <c r="G340" i="2" s="1" a="1"/>
  <c r="G340" i="2" s="1"/>
  <c r="R34" i="1"/>
  <c r="G262" i="2" s="1" a="1"/>
  <c r="G262" i="2" s="1"/>
  <c r="Q34" i="1"/>
  <c r="G184" i="2" s="1" a="1"/>
  <c r="G184" i="2" s="1"/>
  <c r="P34" i="1"/>
  <c r="G106" i="2" s="1" a="1"/>
  <c r="G106" i="2" s="1"/>
  <c r="T33" i="1"/>
  <c r="G417" i="2" s="1" a="1"/>
  <c r="G417" i="2" s="1"/>
  <c r="S33" i="1"/>
  <c r="G339" i="2" s="1" a="1"/>
  <c r="G339" i="2" s="1"/>
  <c r="R33" i="1"/>
  <c r="G261" i="2" s="1" a="1"/>
  <c r="G261" i="2" s="1"/>
  <c r="Q33" i="1"/>
  <c r="G183" i="2" s="1" a="1"/>
  <c r="G183" i="2" s="1"/>
  <c r="P33" i="1"/>
  <c r="G105" i="2" s="1" a="1"/>
  <c r="G105" i="2" s="1"/>
  <c r="T32" i="1"/>
  <c r="G416" i="2" s="1" a="1"/>
  <c r="G416" i="2" s="1"/>
  <c r="S32" i="1"/>
  <c r="G338" i="2" s="1" a="1"/>
  <c r="G338" i="2" s="1"/>
  <c r="R32" i="1"/>
  <c r="G260" i="2" s="1" a="1"/>
  <c r="G260" i="2" s="1"/>
  <c r="Q32" i="1"/>
  <c r="G182" i="2" s="1" a="1"/>
  <c r="G182" i="2" s="1"/>
  <c r="P32" i="1"/>
  <c r="G104" i="2" s="1" a="1"/>
  <c r="G104" i="2" s="1"/>
  <c r="T31" i="1"/>
  <c r="G415" i="2" s="1" a="1"/>
  <c r="G415" i="2" s="1"/>
  <c r="S31" i="1"/>
  <c r="G337" i="2" s="1" a="1"/>
  <c r="G337" i="2" s="1"/>
  <c r="R31" i="1"/>
  <c r="G259" i="2" s="1" a="1"/>
  <c r="G259" i="2" s="1"/>
  <c r="Q31" i="1"/>
  <c r="G181" i="2" s="1" a="1"/>
  <c r="G181" i="2" s="1"/>
  <c r="P31" i="1"/>
  <c r="G103" i="2" s="1" a="1"/>
  <c r="G103" i="2" s="1"/>
  <c r="T30" i="1"/>
  <c r="G414" i="2" s="1" a="1"/>
  <c r="G414" i="2" s="1"/>
  <c r="S30" i="1"/>
  <c r="G336" i="2" s="1" a="1"/>
  <c r="G336" i="2" s="1"/>
  <c r="R30" i="1"/>
  <c r="G258" i="2" s="1" a="1"/>
  <c r="G258" i="2" s="1"/>
  <c r="Q30" i="1"/>
  <c r="G180" i="2" s="1" a="1"/>
  <c r="G180" i="2" s="1"/>
  <c r="P30" i="1"/>
  <c r="G102" i="2" s="1" a="1"/>
  <c r="G102" i="2" s="1"/>
  <c r="T29" i="1"/>
  <c r="G413" i="2" s="1" a="1"/>
  <c r="G413" i="2" s="1"/>
  <c r="S29" i="1"/>
  <c r="G335" i="2" s="1" a="1"/>
  <c r="G335" i="2" s="1"/>
  <c r="R29" i="1"/>
  <c r="G257" i="2" s="1" a="1"/>
  <c r="G257" i="2" s="1"/>
  <c r="Q29" i="1"/>
  <c r="G179" i="2" s="1" a="1"/>
  <c r="G179" i="2" s="1"/>
  <c r="P29" i="1"/>
  <c r="G101" i="2" s="1" a="1"/>
  <c r="G101" i="2" s="1"/>
  <c r="T28" i="1"/>
  <c r="G412" i="2" s="1" a="1"/>
  <c r="G412" i="2" s="1"/>
  <c r="S28" i="1"/>
  <c r="G334" i="2" s="1" a="1"/>
  <c r="G334" i="2" s="1"/>
  <c r="R28" i="1"/>
  <c r="G256" i="2" s="1" a="1"/>
  <c r="G256" i="2" s="1"/>
  <c r="Q28" i="1"/>
  <c r="G178" i="2" s="1" a="1"/>
  <c r="G178" i="2" s="1"/>
  <c r="P28" i="1"/>
  <c r="G100" i="2" s="1" a="1"/>
  <c r="G100" i="2" s="1"/>
  <c r="T27" i="1"/>
  <c r="G411" i="2" s="1" a="1"/>
  <c r="G411" i="2" s="1"/>
  <c r="S27" i="1"/>
  <c r="G333" i="2" s="1" a="1"/>
  <c r="G333" i="2" s="1"/>
  <c r="R27" i="1"/>
  <c r="G255" i="2" s="1" a="1"/>
  <c r="G255" i="2" s="1"/>
  <c r="Q27" i="1"/>
  <c r="G177" i="2" s="1" a="1"/>
  <c r="G177" i="2" s="1"/>
  <c r="P27" i="1"/>
  <c r="G99" i="2" s="1" a="1"/>
  <c r="G99" i="2" s="1"/>
  <c r="T26" i="1"/>
  <c r="G410" i="2" s="1" a="1"/>
  <c r="G410" i="2" s="1"/>
  <c r="S26" i="1"/>
  <c r="G332" i="2" s="1" a="1"/>
  <c r="G332" i="2" s="1"/>
  <c r="R26" i="1"/>
  <c r="G254" i="2" s="1" a="1"/>
  <c r="G254" i="2" s="1"/>
  <c r="Q26" i="1"/>
  <c r="G176" i="2" s="1" a="1"/>
  <c r="G176" i="2" s="1"/>
  <c r="P26" i="1"/>
  <c r="G98" i="2" s="1" a="1"/>
  <c r="G98" i="2" s="1"/>
  <c r="T25" i="1"/>
  <c r="G409" i="2" s="1" a="1"/>
  <c r="G409" i="2" s="1"/>
  <c r="S25" i="1"/>
  <c r="G331" i="2" s="1" a="1"/>
  <c r="G331" i="2" s="1"/>
  <c r="R25" i="1"/>
  <c r="G253" i="2" s="1" a="1"/>
  <c r="G253" i="2" s="1"/>
  <c r="Q25" i="1"/>
  <c r="G175" i="2" s="1" a="1"/>
  <c r="G175" i="2" s="1"/>
  <c r="T24" i="1"/>
  <c r="G408" i="2" s="1" a="1"/>
  <c r="G408" i="2" s="1"/>
  <c r="S24" i="1"/>
  <c r="G330" i="2" s="1" a="1"/>
  <c r="G330" i="2" s="1"/>
  <c r="R24" i="1"/>
  <c r="G252" i="2" s="1" a="1"/>
  <c r="G252" i="2" s="1"/>
  <c r="Q24" i="1"/>
  <c r="G174" i="2" s="1" a="1"/>
  <c r="G174" i="2" s="1"/>
  <c r="P24" i="1"/>
  <c r="G96" i="2" s="1" a="1"/>
  <c r="G96" i="2" s="1"/>
  <c r="T23" i="1"/>
  <c r="G407" i="2" s="1" a="1"/>
  <c r="G407" i="2" s="1"/>
  <c r="S23" i="1"/>
  <c r="G329" i="2" s="1" a="1"/>
  <c r="G329" i="2" s="1"/>
  <c r="R23" i="1"/>
  <c r="G251" i="2" s="1" a="1"/>
  <c r="G251" i="2" s="1"/>
  <c r="Q23" i="1"/>
  <c r="G173" i="2" s="1" a="1"/>
  <c r="G173" i="2" s="1"/>
  <c r="P23" i="1"/>
  <c r="G95" i="2" s="1" a="1"/>
  <c r="G95" i="2" s="1"/>
  <c r="T22" i="1"/>
  <c r="G406" i="2" s="1" a="1"/>
  <c r="G406" i="2" s="1"/>
  <c r="S22" i="1"/>
  <c r="G328" i="2" s="1" a="1"/>
  <c r="G328" i="2" s="1"/>
  <c r="R22" i="1"/>
  <c r="G250" i="2" s="1" a="1"/>
  <c r="G250" i="2" s="1"/>
  <c r="Q22" i="1"/>
  <c r="G172" i="2" s="1" a="1"/>
  <c r="G172" i="2" s="1"/>
  <c r="P22" i="1"/>
  <c r="G94" i="2" s="1" a="1"/>
  <c r="G94" i="2" s="1"/>
  <c r="T21" i="1"/>
  <c r="G405" i="2" s="1" a="1"/>
  <c r="G405" i="2" s="1"/>
  <c r="S21" i="1"/>
  <c r="G327" i="2" s="1" a="1"/>
  <c r="G327" i="2" s="1"/>
  <c r="R21" i="1"/>
  <c r="G249" i="2" s="1" a="1"/>
  <c r="G249" i="2" s="1"/>
  <c r="Q21" i="1"/>
  <c r="G171" i="2" s="1" a="1"/>
  <c r="G171" i="2" s="1"/>
  <c r="P21" i="1"/>
  <c r="G93" i="2" s="1" a="1"/>
  <c r="G93" i="2" s="1"/>
  <c r="T20" i="1"/>
  <c r="G404" i="2" s="1" a="1"/>
  <c r="G404" i="2" s="1"/>
  <c r="S20" i="1"/>
  <c r="G326" i="2" s="1" a="1"/>
  <c r="G326" i="2" s="1"/>
  <c r="R20" i="1"/>
  <c r="G248" i="2" s="1" a="1"/>
  <c r="G248" i="2" s="1"/>
  <c r="Q20" i="1"/>
  <c r="G170" i="2" s="1" a="1"/>
  <c r="G170" i="2" s="1"/>
  <c r="P20" i="1"/>
  <c r="G92" i="2" s="1" a="1"/>
  <c r="G92" i="2" s="1"/>
  <c r="T19" i="1"/>
  <c r="G403" i="2" s="1" a="1"/>
  <c r="G403" i="2" s="1"/>
  <c r="S19" i="1"/>
  <c r="G325" i="2" s="1" a="1"/>
  <c r="G325" i="2" s="1"/>
  <c r="R19" i="1"/>
  <c r="G247" i="2" s="1" a="1"/>
  <c r="G247" i="2" s="1"/>
  <c r="Q19" i="1"/>
  <c r="G169" i="2" s="1" a="1"/>
  <c r="G169" i="2" s="1"/>
  <c r="P19" i="1"/>
  <c r="G91" i="2" s="1" a="1"/>
  <c r="G91" i="2" s="1"/>
  <c r="T18" i="1"/>
  <c r="G402" i="2" s="1" a="1"/>
  <c r="G402" i="2" s="1"/>
  <c r="S18" i="1"/>
  <c r="G324" i="2" s="1" a="1"/>
  <c r="G324" i="2" s="1"/>
  <c r="R18" i="1"/>
  <c r="G246" i="2" s="1" a="1"/>
  <c r="G246" i="2" s="1"/>
  <c r="Q18" i="1"/>
  <c r="G168" i="2" s="1" a="1"/>
  <c r="G168" i="2" s="1"/>
  <c r="P18" i="1"/>
  <c r="G90" i="2" s="1" a="1"/>
  <c r="G90" i="2" s="1"/>
  <c r="T17" i="1"/>
  <c r="G401" i="2" s="1" a="1"/>
  <c r="G401" i="2" s="1"/>
  <c r="S17" i="1"/>
  <c r="G323" i="2" s="1" a="1"/>
  <c r="G323" i="2" s="1"/>
  <c r="R17" i="1"/>
  <c r="G245" i="2" s="1" a="1"/>
  <c r="G245" i="2" s="1"/>
  <c r="Q17" i="1"/>
  <c r="G167" i="2" s="1" a="1"/>
  <c r="G167" i="2" s="1"/>
  <c r="P17" i="1"/>
  <c r="G89" i="2" s="1" a="1"/>
  <c r="G89" i="2" s="1"/>
  <c r="T16" i="1"/>
  <c r="G400" i="2" s="1" a="1"/>
  <c r="G400" i="2" s="1"/>
  <c r="S16" i="1"/>
  <c r="G322" i="2" s="1" a="1"/>
  <c r="G322" i="2" s="1"/>
  <c r="R16" i="1"/>
  <c r="G244" i="2" s="1" a="1"/>
  <c r="G244" i="2" s="1"/>
  <c r="Q16" i="1"/>
  <c r="G166" i="2" s="1" a="1"/>
  <c r="G166" i="2" s="1"/>
  <c r="P16" i="1"/>
  <c r="G88" i="2" s="1" a="1"/>
  <c r="G88" i="2" s="1"/>
  <c r="T15" i="1"/>
  <c r="G399" i="2" s="1" a="1"/>
  <c r="G399" i="2" s="1"/>
  <c r="S15" i="1"/>
  <c r="G321" i="2" s="1" a="1"/>
  <c r="G321" i="2" s="1"/>
  <c r="R15" i="1"/>
  <c r="G243" i="2" s="1" a="1"/>
  <c r="G243" i="2" s="1"/>
  <c r="Q15" i="1"/>
  <c r="G165" i="2" s="1" a="1"/>
  <c r="G165" i="2" s="1"/>
  <c r="P15" i="1"/>
  <c r="G87" i="2" s="1" a="1"/>
  <c r="G87" i="2" s="1"/>
  <c r="T14" i="1"/>
  <c r="G398" i="2" s="1" a="1"/>
  <c r="G398" i="2" s="1"/>
  <c r="S14" i="1"/>
  <c r="G320" i="2" s="1" a="1"/>
  <c r="G320" i="2" s="1"/>
  <c r="R14" i="1"/>
  <c r="G242" i="2" s="1" a="1"/>
  <c r="G242" i="2" s="1"/>
  <c r="Q14" i="1"/>
  <c r="G164" i="2" s="1" a="1"/>
  <c r="G164" i="2" s="1"/>
  <c r="P14" i="1"/>
  <c r="G86" i="2" s="1" a="1"/>
  <c r="G86" i="2" s="1"/>
  <c r="T13" i="1"/>
  <c r="G397" i="2" s="1" a="1"/>
  <c r="G397" i="2" s="1"/>
  <c r="S13" i="1"/>
  <c r="G319" i="2" s="1" a="1"/>
  <c r="G319" i="2" s="1"/>
  <c r="R13" i="1"/>
  <c r="G241" i="2" s="1" a="1"/>
  <c r="G241" i="2" s="1"/>
  <c r="Q13" i="1"/>
  <c r="G163" i="2" s="1" a="1"/>
  <c r="G163" i="2" s="1"/>
  <c r="P13" i="1"/>
  <c r="G85" i="2" s="1" a="1"/>
  <c r="G85" i="2" s="1"/>
  <c r="T12" i="1"/>
  <c r="G396" i="2" s="1" a="1"/>
  <c r="G396" i="2" s="1"/>
  <c r="S12" i="1"/>
  <c r="G318" i="2" s="1" a="1"/>
  <c r="G318" i="2" s="1"/>
  <c r="R12" i="1"/>
  <c r="G240" i="2" s="1" a="1"/>
  <c r="G240" i="2" s="1"/>
  <c r="Q12" i="1"/>
  <c r="G162" i="2" s="1" a="1"/>
  <c r="G162" i="2" s="1"/>
  <c r="P12" i="1"/>
  <c r="G84" i="2" s="1" a="1"/>
  <c r="G84" i="2" s="1"/>
  <c r="T11" i="1"/>
  <c r="G395" i="2" s="1" a="1"/>
  <c r="G395" i="2" s="1"/>
  <c r="S11" i="1"/>
  <c r="G317" i="2" s="1" a="1"/>
  <c r="G317" i="2" s="1"/>
  <c r="R11" i="1"/>
  <c r="G239" i="2" s="1" a="1"/>
  <c r="G239" i="2" s="1"/>
  <c r="Q11" i="1"/>
  <c r="G161" i="2" s="1" a="1"/>
  <c r="G161" i="2" s="1"/>
  <c r="P11" i="1"/>
  <c r="G83" i="2" s="1" a="1"/>
  <c r="G83" i="2" s="1"/>
  <c r="T10" i="1"/>
  <c r="G394" i="2" s="1" a="1"/>
  <c r="G394" i="2" s="1"/>
  <c r="S10" i="1"/>
  <c r="G316" i="2" s="1" a="1"/>
  <c r="G316" i="2" s="1"/>
  <c r="R10" i="1"/>
  <c r="G238" i="2" s="1" a="1"/>
  <c r="G238" i="2" s="1"/>
  <c r="Q10" i="1"/>
  <c r="G160" i="2" s="1" a="1"/>
  <c r="G160" i="2" s="1"/>
  <c r="P10" i="1"/>
  <c r="G82" i="2" s="1" a="1"/>
  <c r="G82" i="2" s="1"/>
  <c r="P25" i="1"/>
  <c r="G97" i="2" s="1" a="1"/>
  <c r="G97" i="2" s="1"/>
  <c r="V24" i="1" l="1"/>
  <c r="D96" i="2" s="1" a="1"/>
  <c r="D96" i="2" s="1"/>
  <c r="P1" i="1"/>
  <c r="V36" i="1" l="1"/>
  <c r="D108" i="2" s="1" a="1"/>
  <c r="D108" i="2" s="1"/>
  <c r="W36" i="1"/>
  <c r="D186" i="2" s="1" a="1"/>
  <c r="D186" i="2" s="1"/>
  <c r="X36" i="1"/>
  <c r="D264" i="2" s="1" a="1"/>
  <c r="D264" i="2" s="1"/>
  <c r="Y36" i="1"/>
  <c r="D342" i="2" s="1" a="1"/>
  <c r="D342" i="2" s="1"/>
  <c r="Z36" i="1"/>
  <c r="D420" i="2" s="1" a="1"/>
  <c r="D420" i="2" s="1"/>
  <c r="V37" i="1"/>
  <c r="D109" i="2" s="1" a="1"/>
  <c r="D109" i="2" s="1"/>
  <c r="W37" i="1"/>
  <c r="D187" i="2" s="1" a="1"/>
  <c r="D187" i="2" s="1"/>
  <c r="X37" i="1"/>
  <c r="D265" i="2" s="1" a="1"/>
  <c r="D265" i="2" s="1"/>
  <c r="Y37" i="1"/>
  <c r="D343" i="2" s="1" a="1"/>
  <c r="D343" i="2" s="1"/>
  <c r="Z37" i="1"/>
  <c r="D421" i="2" s="1" a="1"/>
  <c r="D421" i="2" s="1"/>
  <c r="V38" i="1"/>
  <c r="D110" i="2" s="1" a="1"/>
  <c r="D110" i="2" s="1"/>
  <c r="W38" i="1"/>
  <c r="D188" i="2" s="1" a="1"/>
  <c r="D188" i="2" s="1"/>
  <c r="X38" i="1"/>
  <c r="D266" i="2" s="1" a="1"/>
  <c r="D266" i="2" s="1"/>
  <c r="Y38" i="1"/>
  <c r="D344" i="2" s="1" a="1"/>
  <c r="D344" i="2" s="1"/>
  <c r="Z38" i="1"/>
  <c r="D422" i="2" s="1" a="1"/>
  <c r="D422" i="2" s="1"/>
  <c r="V39" i="1"/>
  <c r="D111" i="2" s="1" a="1"/>
  <c r="D111" i="2" s="1"/>
  <c r="W39" i="1"/>
  <c r="D189" i="2" s="1" a="1"/>
  <c r="D189" i="2" s="1"/>
  <c r="X39" i="1"/>
  <c r="D267" i="2" s="1" a="1"/>
  <c r="D267" i="2" s="1"/>
  <c r="Y39" i="1"/>
  <c r="D345" i="2" s="1" a="1"/>
  <c r="D345" i="2" s="1"/>
  <c r="Z39" i="1"/>
  <c r="D423" i="2" s="1" a="1"/>
  <c r="D423" i="2" s="1"/>
  <c r="V40" i="1"/>
  <c r="D112" i="2" s="1" a="1"/>
  <c r="D112" i="2" s="1"/>
  <c r="W40" i="1"/>
  <c r="D190" i="2" s="1" a="1"/>
  <c r="D190" i="2" s="1"/>
  <c r="X40" i="1"/>
  <c r="D268" i="2" s="1" a="1"/>
  <c r="D268" i="2" s="1"/>
  <c r="Y40" i="1"/>
  <c r="D346" i="2" s="1" a="1"/>
  <c r="D346" i="2" s="1"/>
  <c r="Z40" i="1"/>
  <c r="D424" i="2" s="1" a="1"/>
  <c r="D424" i="2" s="1"/>
  <c r="V41" i="1"/>
  <c r="D113" i="2" s="1" a="1"/>
  <c r="D113" i="2" s="1"/>
  <c r="W41" i="1"/>
  <c r="D191" i="2" s="1" a="1"/>
  <c r="D191" i="2" s="1"/>
  <c r="X41" i="1"/>
  <c r="D269" i="2" s="1" a="1"/>
  <c r="D269" i="2" s="1"/>
  <c r="Y41" i="1"/>
  <c r="D347" i="2" s="1" a="1"/>
  <c r="D347" i="2" s="1"/>
  <c r="Z41" i="1"/>
  <c r="D425" i="2" s="1" a="1"/>
  <c r="D425" i="2" s="1"/>
  <c r="V42" i="1"/>
  <c r="D114" i="2" s="1" a="1"/>
  <c r="D114" i="2" s="1"/>
  <c r="W42" i="1"/>
  <c r="D192" i="2" s="1" a="1"/>
  <c r="D192" i="2" s="1"/>
  <c r="X42" i="1"/>
  <c r="D270" i="2" s="1" a="1"/>
  <c r="D270" i="2" s="1"/>
  <c r="Y42" i="1"/>
  <c r="D348" i="2" s="1" a="1"/>
  <c r="D348" i="2" s="1"/>
  <c r="Z42" i="1"/>
  <c r="D426" i="2" s="1" a="1"/>
  <c r="D426" i="2" s="1"/>
  <c r="V43" i="1"/>
  <c r="D115" i="2" s="1" a="1"/>
  <c r="D115" i="2" s="1"/>
  <c r="W43" i="1"/>
  <c r="D193" i="2" s="1" a="1"/>
  <c r="D193" i="2" s="1"/>
  <c r="X43" i="1"/>
  <c r="D271" i="2" s="1" a="1"/>
  <c r="D271" i="2" s="1"/>
  <c r="Y43" i="1"/>
  <c r="D349" i="2" s="1" a="1"/>
  <c r="D349" i="2" s="1"/>
  <c r="Z43" i="1"/>
  <c r="D427" i="2" s="1" a="1"/>
  <c r="D427" i="2" s="1"/>
  <c r="V44" i="1"/>
  <c r="D116" i="2" s="1" a="1"/>
  <c r="D116" i="2" s="1"/>
  <c r="W44" i="1"/>
  <c r="D194" i="2" s="1" a="1"/>
  <c r="D194" i="2" s="1"/>
  <c r="X44" i="1"/>
  <c r="D272" i="2" s="1" a="1"/>
  <c r="D272" i="2" s="1"/>
  <c r="Y44" i="1"/>
  <c r="D350" i="2" s="1" a="1"/>
  <c r="D350" i="2" s="1"/>
  <c r="Z44" i="1"/>
  <c r="D428" i="2" s="1" a="1"/>
  <c r="D428" i="2" s="1"/>
  <c r="V45" i="1"/>
  <c r="D117" i="2" s="1" a="1"/>
  <c r="D117" i="2" s="1"/>
  <c r="W45" i="1"/>
  <c r="D195" i="2" s="1" a="1"/>
  <c r="D195" i="2" s="1"/>
  <c r="X45" i="1"/>
  <c r="D273" i="2" s="1" a="1"/>
  <c r="D273" i="2" s="1"/>
  <c r="Y45" i="1"/>
  <c r="D351" i="2" s="1" a="1"/>
  <c r="D351" i="2" s="1"/>
  <c r="Z45" i="1"/>
  <c r="D429" i="2" s="1" a="1"/>
  <c r="D429" i="2" s="1"/>
  <c r="V46" i="1"/>
  <c r="D118" i="2" s="1" a="1"/>
  <c r="D118" i="2" s="1"/>
  <c r="W46" i="1"/>
  <c r="D196" i="2" s="1" a="1"/>
  <c r="D196" i="2" s="1"/>
  <c r="X46" i="1"/>
  <c r="D274" i="2" s="1" a="1"/>
  <c r="D274" i="2" s="1"/>
  <c r="Y46" i="1"/>
  <c r="D352" i="2" s="1" a="1"/>
  <c r="D352" i="2" s="1"/>
  <c r="Z46" i="1"/>
  <c r="D430" i="2" s="1" a="1"/>
  <c r="D430" i="2" s="1"/>
  <c r="V47" i="1"/>
  <c r="D119" i="2" s="1" a="1"/>
  <c r="D119" i="2" s="1"/>
  <c r="W47" i="1"/>
  <c r="D197" i="2" s="1" a="1"/>
  <c r="D197" i="2" s="1"/>
  <c r="X47" i="1"/>
  <c r="D275" i="2" s="1" a="1"/>
  <c r="D275" i="2" s="1"/>
  <c r="Y47" i="1"/>
  <c r="D353" i="2" s="1" a="1"/>
  <c r="D353" i="2" s="1"/>
  <c r="Z47" i="1"/>
  <c r="D431" i="2" s="1" a="1"/>
  <c r="D431" i="2" s="1"/>
  <c r="V48" i="1"/>
  <c r="D120" i="2" s="1" a="1"/>
  <c r="D120" i="2" s="1"/>
  <c r="W48" i="1"/>
  <c r="D198" i="2" s="1" a="1"/>
  <c r="D198" i="2" s="1"/>
  <c r="X48" i="1"/>
  <c r="D276" i="2" s="1" a="1"/>
  <c r="D276" i="2" s="1"/>
  <c r="Y48" i="1"/>
  <c r="D354" i="2" s="1" a="1"/>
  <c r="D354" i="2" s="1"/>
  <c r="Z48" i="1"/>
  <c r="D432" i="2" s="1" a="1"/>
  <c r="D432" i="2" s="1"/>
  <c r="Z75" i="1" l="1"/>
  <c r="D459" i="2" s="1" a="1"/>
  <c r="D459" i="2" s="1"/>
  <c r="Y75" i="1"/>
  <c r="D381" i="2" s="1" a="1"/>
  <c r="D381" i="2" s="1"/>
  <c r="X75" i="1"/>
  <c r="D303" i="2" s="1" a="1"/>
  <c r="D303" i="2" s="1"/>
  <c r="W75" i="1"/>
  <c r="D225" i="2" s="1" a="1"/>
  <c r="D225" i="2" s="1"/>
  <c r="V75" i="1"/>
  <c r="D147" i="2" s="1" a="1"/>
  <c r="D147" i="2" s="1"/>
  <c r="Z62" i="1"/>
  <c r="D446" i="2" s="1" a="1"/>
  <c r="D446" i="2" s="1"/>
  <c r="Y62" i="1"/>
  <c r="D368" i="2" s="1" a="1"/>
  <c r="D368" i="2" s="1"/>
  <c r="X62" i="1"/>
  <c r="D290" i="2" s="1" a="1"/>
  <c r="D290" i="2" s="1"/>
  <c r="W62" i="1"/>
  <c r="D212" i="2" s="1" a="1"/>
  <c r="D212" i="2" s="1"/>
  <c r="V62" i="1"/>
  <c r="D134" i="2" s="1" a="1"/>
  <c r="D134" i="2" s="1"/>
  <c r="Z49" i="1"/>
  <c r="D433" i="2" s="1" a="1"/>
  <c r="D433" i="2" s="1"/>
  <c r="Y49" i="1"/>
  <c r="D355" i="2" s="1" a="1"/>
  <c r="D355" i="2" s="1"/>
  <c r="X49" i="1"/>
  <c r="D277" i="2" s="1" a="1"/>
  <c r="D277" i="2" s="1"/>
  <c r="W49" i="1"/>
  <c r="D199" i="2" s="1" a="1"/>
  <c r="D199" i="2" s="1"/>
  <c r="V49" i="1"/>
  <c r="D121" i="2" s="1" a="1"/>
  <c r="D121" i="2" s="1"/>
  <c r="Z23" i="1"/>
  <c r="D407" i="2" s="1" a="1"/>
  <c r="D407" i="2" s="1"/>
  <c r="Y23" i="1"/>
  <c r="D329" i="2" s="1" a="1"/>
  <c r="D329" i="2" s="1"/>
  <c r="X23" i="1"/>
  <c r="D251" i="2" s="1" a="1"/>
  <c r="D251" i="2" s="1"/>
  <c r="W23" i="1"/>
  <c r="D173" i="2" s="1" a="1"/>
  <c r="D173" i="2" s="1"/>
  <c r="V23" i="1"/>
  <c r="D95" i="2" s="1" a="1"/>
  <c r="D95" i="2" s="1"/>
  <c r="Z10" i="1"/>
  <c r="D394" i="2" s="1" a="1"/>
  <c r="D394" i="2" s="1"/>
  <c r="Y10" i="1"/>
  <c r="D316" i="2" s="1" a="1"/>
  <c r="D316" i="2" s="1"/>
  <c r="X10" i="1"/>
  <c r="D238" i="2" s="1" a="1"/>
  <c r="D238" i="2" s="1"/>
  <c r="W10" i="1"/>
  <c r="D160" i="2" s="1" a="1"/>
  <c r="D160" i="2" s="1"/>
  <c r="V10" i="1"/>
  <c r="D82" i="2" s="1" a="1"/>
  <c r="D82" i="2" s="1"/>
  <c r="Z87" i="1" l="1"/>
  <c r="D471" i="2" s="1" a="1"/>
  <c r="D471" i="2" s="1"/>
  <c r="Y87" i="1"/>
  <c r="D393" i="2" s="1" a="1"/>
  <c r="D393" i="2" s="1"/>
  <c r="X87" i="1"/>
  <c r="D315" i="2" s="1" a="1"/>
  <c r="D315" i="2" s="1"/>
  <c r="W87" i="1"/>
  <c r="D237" i="2" s="1" a="1"/>
  <c r="D237" i="2" s="1"/>
  <c r="V87" i="1"/>
  <c r="D159" i="2" s="1" a="1"/>
  <c r="D159" i="2" s="1"/>
  <c r="Z86" i="1"/>
  <c r="D470" i="2" s="1" a="1"/>
  <c r="D470" i="2" s="1"/>
  <c r="Y86" i="1"/>
  <c r="D392" i="2" s="1" a="1"/>
  <c r="D392" i="2" s="1"/>
  <c r="X86" i="1"/>
  <c r="D314" i="2" s="1" a="1"/>
  <c r="D314" i="2" s="1"/>
  <c r="W86" i="1"/>
  <c r="D236" i="2" s="1" a="1"/>
  <c r="D236" i="2" s="1"/>
  <c r="V86" i="1"/>
  <c r="D158" i="2" s="1" a="1"/>
  <c r="D158" i="2" s="1"/>
  <c r="Z85" i="1"/>
  <c r="D469" i="2" s="1" a="1"/>
  <c r="D469" i="2" s="1"/>
  <c r="Y85" i="1"/>
  <c r="D391" i="2" s="1" a="1"/>
  <c r="D391" i="2" s="1"/>
  <c r="X85" i="1"/>
  <c r="D313" i="2" s="1" a="1"/>
  <c r="D313" i="2" s="1"/>
  <c r="W85" i="1"/>
  <c r="D235" i="2" s="1" a="1"/>
  <c r="D235" i="2" s="1"/>
  <c r="V85" i="1"/>
  <c r="D157" i="2" s="1" a="1"/>
  <c r="D157" i="2" s="1"/>
  <c r="Z84" i="1"/>
  <c r="D468" i="2" s="1" a="1"/>
  <c r="D468" i="2" s="1"/>
  <c r="Y84" i="1"/>
  <c r="D390" i="2" s="1" a="1"/>
  <c r="D390" i="2" s="1"/>
  <c r="X84" i="1"/>
  <c r="D312" i="2" s="1" a="1"/>
  <c r="D312" i="2" s="1"/>
  <c r="W84" i="1"/>
  <c r="D234" i="2" s="1" a="1"/>
  <c r="D234" i="2" s="1"/>
  <c r="V84" i="1"/>
  <c r="D156" i="2" s="1" a="1"/>
  <c r="D156" i="2" s="1"/>
  <c r="Z83" i="1"/>
  <c r="D467" i="2" s="1" a="1"/>
  <c r="D467" i="2" s="1"/>
  <c r="Y83" i="1"/>
  <c r="D389" i="2" s="1" a="1"/>
  <c r="D389" i="2" s="1"/>
  <c r="X83" i="1"/>
  <c r="D311" i="2" s="1" a="1"/>
  <c r="D311" i="2" s="1"/>
  <c r="W83" i="1"/>
  <c r="D233" i="2" s="1" a="1"/>
  <c r="D233" i="2" s="1"/>
  <c r="V83" i="1"/>
  <c r="D155" i="2" s="1" a="1"/>
  <c r="D155" i="2" s="1"/>
  <c r="Z82" i="1"/>
  <c r="D466" i="2" s="1" a="1"/>
  <c r="D466" i="2" s="1"/>
  <c r="Y82" i="1"/>
  <c r="D388" i="2" s="1" a="1"/>
  <c r="D388" i="2" s="1"/>
  <c r="X82" i="1"/>
  <c r="D310" i="2" s="1" a="1"/>
  <c r="D310" i="2" s="1"/>
  <c r="W82" i="1"/>
  <c r="D232" i="2" s="1" a="1"/>
  <c r="D232" i="2" s="1"/>
  <c r="V82" i="1"/>
  <c r="D154" i="2" s="1" a="1"/>
  <c r="D154" i="2" s="1"/>
  <c r="Z81" i="1"/>
  <c r="D465" i="2" s="1" a="1"/>
  <c r="D465" i="2" s="1"/>
  <c r="Y81" i="1"/>
  <c r="D387" i="2" s="1" a="1"/>
  <c r="D387" i="2" s="1"/>
  <c r="X81" i="1"/>
  <c r="D309" i="2" s="1" a="1"/>
  <c r="D309" i="2" s="1"/>
  <c r="W81" i="1"/>
  <c r="D231" i="2" s="1" a="1"/>
  <c r="D231" i="2" s="1"/>
  <c r="V81" i="1"/>
  <c r="D153" i="2" s="1" a="1"/>
  <c r="D153" i="2" s="1"/>
  <c r="Z80" i="1"/>
  <c r="D464" i="2" s="1" a="1"/>
  <c r="D464" i="2" s="1"/>
  <c r="Y80" i="1"/>
  <c r="D386" i="2" s="1" a="1"/>
  <c r="D386" i="2" s="1"/>
  <c r="X80" i="1"/>
  <c r="D308" i="2" s="1" a="1"/>
  <c r="D308" i="2" s="1"/>
  <c r="W80" i="1"/>
  <c r="D230" i="2" s="1" a="1"/>
  <c r="D230" i="2" s="1"/>
  <c r="V80" i="1"/>
  <c r="D152" i="2" s="1" a="1"/>
  <c r="D152" i="2" s="1"/>
  <c r="Z79" i="1"/>
  <c r="D463" i="2" s="1" a="1"/>
  <c r="D463" i="2" s="1"/>
  <c r="Y79" i="1"/>
  <c r="D385" i="2" s="1" a="1"/>
  <c r="D385" i="2" s="1"/>
  <c r="X79" i="1"/>
  <c r="D307" i="2" s="1" a="1"/>
  <c r="D307" i="2" s="1"/>
  <c r="W79" i="1"/>
  <c r="D229" i="2" s="1" a="1"/>
  <c r="D229" i="2" s="1"/>
  <c r="V79" i="1"/>
  <c r="D151" i="2" s="1" a="1"/>
  <c r="D151" i="2" s="1"/>
  <c r="Z78" i="1"/>
  <c r="D462" i="2" s="1" a="1"/>
  <c r="D462" i="2" s="1"/>
  <c r="Y78" i="1"/>
  <c r="D384" i="2" s="1" a="1"/>
  <c r="D384" i="2" s="1"/>
  <c r="X78" i="1"/>
  <c r="D306" i="2" s="1" a="1"/>
  <c r="D306" i="2" s="1"/>
  <c r="W78" i="1"/>
  <c r="D228" i="2" s="1" a="1"/>
  <c r="D228" i="2" s="1"/>
  <c r="V78" i="1"/>
  <c r="D150" i="2" s="1" a="1"/>
  <c r="D150" i="2" s="1"/>
  <c r="Z77" i="1"/>
  <c r="D461" i="2" s="1" a="1"/>
  <c r="D461" i="2" s="1"/>
  <c r="Y77" i="1"/>
  <c r="D383" i="2" s="1" a="1"/>
  <c r="D383" i="2" s="1"/>
  <c r="X77" i="1"/>
  <c r="D305" i="2" s="1" a="1"/>
  <c r="D305" i="2" s="1"/>
  <c r="W77" i="1"/>
  <c r="D227" i="2" s="1" a="1"/>
  <c r="D227" i="2" s="1"/>
  <c r="V77" i="1"/>
  <c r="D149" i="2" s="1" a="1"/>
  <c r="D149" i="2" s="1"/>
  <c r="Z76" i="1"/>
  <c r="D460" i="2" s="1" a="1"/>
  <c r="D460" i="2" s="1"/>
  <c r="Y76" i="1"/>
  <c r="D382" i="2" s="1" a="1"/>
  <c r="D382" i="2" s="1"/>
  <c r="X76" i="1"/>
  <c r="D304" i="2" s="1" a="1"/>
  <c r="D304" i="2" s="1"/>
  <c r="W76" i="1"/>
  <c r="D226" i="2" s="1" a="1"/>
  <c r="D226" i="2" s="1"/>
  <c r="V76" i="1"/>
  <c r="D148" i="2" s="1" a="1"/>
  <c r="D148" i="2" s="1"/>
  <c r="Z74" i="1"/>
  <c r="D458" i="2" s="1" a="1"/>
  <c r="D458" i="2" s="1"/>
  <c r="Y74" i="1"/>
  <c r="D380" i="2" s="1" a="1"/>
  <c r="D380" i="2" s="1"/>
  <c r="X74" i="1"/>
  <c r="D302" i="2" s="1" a="1"/>
  <c r="D302" i="2" s="1"/>
  <c r="W74" i="1"/>
  <c r="D224" i="2" s="1" a="1"/>
  <c r="D224" i="2" s="1"/>
  <c r="V74" i="1"/>
  <c r="D146" i="2" s="1" a="1"/>
  <c r="D146" i="2" s="1"/>
  <c r="Z73" i="1"/>
  <c r="D457" i="2" s="1" a="1"/>
  <c r="D457" i="2" s="1"/>
  <c r="Y73" i="1"/>
  <c r="D379" i="2" s="1" a="1"/>
  <c r="D379" i="2" s="1"/>
  <c r="X73" i="1"/>
  <c r="D301" i="2" s="1" a="1"/>
  <c r="D301" i="2" s="1"/>
  <c r="W73" i="1"/>
  <c r="D223" i="2" s="1" a="1"/>
  <c r="D223" i="2" s="1"/>
  <c r="V73" i="1"/>
  <c r="D145" i="2" s="1" a="1"/>
  <c r="D145" i="2" s="1"/>
  <c r="Z72" i="1"/>
  <c r="D456" i="2" s="1" a="1"/>
  <c r="D456" i="2" s="1"/>
  <c r="Y72" i="1"/>
  <c r="D378" i="2" s="1" a="1"/>
  <c r="D378" i="2" s="1"/>
  <c r="X72" i="1"/>
  <c r="D300" i="2" s="1" a="1"/>
  <c r="D300" i="2" s="1"/>
  <c r="W72" i="1"/>
  <c r="D222" i="2" s="1" a="1"/>
  <c r="D222" i="2" s="1"/>
  <c r="V72" i="1"/>
  <c r="D144" i="2" s="1" a="1"/>
  <c r="D144" i="2" s="1"/>
  <c r="Z71" i="1"/>
  <c r="D455" i="2" s="1" a="1"/>
  <c r="D455" i="2" s="1"/>
  <c r="Y71" i="1"/>
  <c r="D377" i="2" s="1" a="1"/>
  <c r="D377" i="2" s="1"/>
  <c r="X71" i="1"/>
  <c r="D299" i="2" s="1" a="1"/>
  <c r="D299" i="2" s="1"/>
  <c r="W71" i="1"/>
  <c r="D221" i="2" s="1" a="1"/>
  <c r="D221" i="2" s="1"/>
  <c r="V71" i="1"/>
  <c r="D143" i="2" s="1" a="1"/>
  <c r="D143" i="2" s="1"/>
  <c r="Z70" i="1"/>
  <c r="D454" i="2" s="1" a="1"/>
  <c r="D454" i="2" s="1"/>
  <c r="Y70" i="1"/>
  <c r="D376" i="2" s="1" a="1"/>
  <c r="D376" i="2" s="1"/>
  <c r="X70" i="1"/>
  <c r="D298" i="2" s="1" a="1"/>
  <c r="D298" i="2" s="1"/>
  <c r="W70" i="1"/>
  <c r="D220" i="2" s="1" a="1"/>
  <c r="D220" i="2" s="1"/>
  <c r="V70" i="1"/>
  <c r="D142" i="2" s="1" a="1"/>
  <c r="D142" i="2" s="1"/>
  <c r="Z69" i="1"/>
  <c r="D453" i="2" s="1" a="1"/>
  <c r="D453" i="2" s="1"/>
  <c r="Y69" i="1"/>
  <c r="D375" i="2" s="1" a="1"/>
  <c r="D375" i="2" s="1"/>
  <c r="X69" i="1"/>
  <c r="D297" i="2" s="1" a="1"/>
  <c r="D297" i="2" s="1"/>
  <c r="W69" i="1"/>
  <c r="D219" i="2" s="1" a="1"/>
  <c r="D219" i="2" s="1"/>
  <c r="V69" i="1"/>
  <c r="D141" i="2" s="1" a="1"/>
  <c r="D141" i="2" s="1"/>
  <c r="Z68" i="1"/>
  <c r="D452" i="2" s="1" a="1"/>
  <c r="D452" i="2" s="1"/>
  <c r="Y68" i="1"/>
  <c r="D374" i="2" s="1" a="1"/>
  <c r="D374" i="2" s="1"/>
  <c r="X68" i="1"/>
  <c r="D296" i="2" s="1" a="1"/>
  <c r="D296" i="2" s="1"/>
  <c r="W68" i="1"/>
  <c r="D218" i="2" s="1" a="1"/>
  <c r="D218" i="2" s="1"/>
  <c r="V68" i="1"/>
  <c r="D140" i="2" s="1" a="1"/>
  <c r="D140" i="2" s="1"/>
  <c r="Z67" i="1"/>
  <c r="D451" i="2" s="1" a="1"/>
  <c r="D451" i="2" s="1"/>
  <c r="Y67" i="1"/>
  <c r="D373" i="2" s="1" a="1"/>
  <c r="D373" i="2" s="1"/>
  <c r="X67" i="1"/>
  <c r="D295" i="2" s="1" a="1"/>
  <c r="D295" i="2" s="1"/>
  <c r="W67" i="1"/>
  <c r="D217" i="2" s="1" a="1"/>
  <c r="D217" i="2" s="1"/>
  <c r="V67" i="1"/>
  <c r="D139" i="2" s="1" a="1"/>
  <c r="D139" i="2" s="1"/>
  <c r="Z66" i="1"/>
  <c r="D450" i="2" s="1" a="1"/>
  <c r="D450" i="2" s="1"/>
  <c r="Y66" i="1"/>
  <c r="D372" i="2" s="1" a="1"/>
  <c r="D372" i="2" s="1"/>
  <c r="X66" i="1"/>
  <c r="D294" i="2" s="1" a="1"/>
  <c r="D294" i="2" s="1"/>
  <c r="W66" i="1"/>
  <c r="D216" i="2" s="1" a="1"/>
  <c r="D216" i="2" s="1"/>
  <c r="V66" i="1"/>
  <c r="D138" i="2" s="1" a="1"/>
  <c r="D138" i="2" s="1"/>
  <c r="Z65" i="1"/>
  <c r="D449" i="2" s="1" a="1"/>
  <c r="D449" i="2" s="1"/>
  <c r="Y65" i="1"/>
  <c r="D371" i="2" s="1" a="1"/>
  <c r="D371" i="2" s="1"/>
  <c r="X65" i="1"/>
  <c r="D293" i="2" s="1" a="1"/>
  <c r="D293" i="2" s="1"/>
  <c r="W65" i="1"/>
  <c r="D215" i="2" s="1" a="1"/>
  <c r="D215" i="2" s="1"/>
  <c r="V65" i="1"/>
  <c r="D137" i="2" s="1" a="1"/>
  <c r="D137" i="2" s="1"/>
  <c r="Z64" i="1"/>
  <c r="D448" i="2" s="1" a="1"/>
  <c r="D448" i="2" s="1"/>
  <c r="Y64" i="1"/>
  <c r="D370" i="2" s="1" a="1"/>
  <c r="D370" i="2" s="1"/>
  <c r="X64" i="1"/>
  <c r="D292" i="2" s="1" a="1"/>
  <c r="D292" i="2" s="1"/>
  <c r="W64" i="1"/>
  <c r="D214" i="2" s="1" a="1"/>
  <c r="D214" i="2" s="1"/>
  <c r="V64" i="1"/>
  <c r="D136" i="2" s="1" a="1"/>
  <c r="D136" i="2" s="1"/>
  <c r="Z63" i="1"/>
  <c r="D447" i="2" s="1" a="1"/>
  <c r="D447" i="2" s="1"/>
  <c r="Y63" i="1"/>
  <c r="D369" i="2" s="1" a="1"/>
  <c r="D369" i="2" s="1"/>
  <c r="X63" i="1"/>
  <c r="D291" i="2" s="1" a="1"/>
  <c r="D291" i="2" s="1"/>
  <c r="W63" i="1"/>
  <c r="D213" i="2" s="1" a="1"/>
  <c r="D213" i="2" s="1"/>
  <c r="V63" i="1"/>
  <c r="D135" i="2" s="1" a="1"/>
  <c r="D135" i="2" s="1"/>
  <c r="Z61" i="1"/>
  <c r="D445" i="2" s="1" a="1"/>
  <c r="D445" i="2" s="1"/>
  <c r="Y61" i="1"/>
  <c r="D367" i="2" s="1" a="1"/>
  <c r="D367" i="2" s="1"/>
  <c r="X61" i="1"/>
  <c r="D289" i="2" s="1" a="1"/>
  <c r="D289" i="2" s="1"/>
  <c r="W61" i="1"/>
  <c r="D211" i="2" s="1" a="1"/>
  <c r="D211" i="2" s="1"/>
  <c r="V61" i="1"/>
  <c r="D133" i="2" s="1" a="1"/>
  <c r="D133" i="2" s="1"/>
  <c r="Z60" i="1"/>
  <c r="D444" i="2" s="1" a="1"/>
  <c r="D444" i="2" s="1"/>
  <c r="Y60" i="1"/>
  <c r="D366" i="2" s="1" a="1"/>
  <c r="D366" i="2" s="1"/>
  <c r="X60" i="1"/>
  <c r="D288" i="2" s="1" a="1"/>
  <c r="D288" i="2" s="1"/>
  <c r="W60" i="1"/>
  <c r="D210" i="2" s="1" a="1"/>
  <c r="D210" i="2" s="1"/>
  <c r="V60" i="1"/>
  <c r="D132" i="2" s="1" a="1"/>
  <c r="D132" i="2" s="1"/>
  <c r="Z59" i="1"/>
  <c r="D443" i="2" s="1" a="1"/>
  <c r="D443" i="2" s="1"/>
  <c r="Y59" i="1"/>
  <c r="D365" i="2" s="1" a="1"/>
  <c r="D365" i="2" s="1"/>
  <c r="X59" i="1"/>
  <c r="D287" i="2" s="1" a="1"/>
  <c r="D287" i="2" s="1"/>
  <c r="W59" i="1"/>
  <c r="D209" i="2" s="1" a="1"/>
  <c r="D209" i="2" s="1"/>
  <c r="V59" i="1"/>
  <c r="D131" i="2" s="1" a="1"/>
  <c r="D131" i="2" s="1"/>
  <c r="Z58" i="1"/>
  <c r="D442" i="2" s="1" a="1"/>
  <c r="D442" i="2" s="1"/>
  <c r="Y58" i="1"/>
  <c r="D364" i="2" s="1" a="1"/>
  <c r="D364" i="2" s="1"/>
  <c r="X58" i="1"/>
  <c r="D286" i="2" s="1" a="1"/>
  <c r="D286" i="2" s="1"/>
  <c r="W58" i="1"/>
  <c r="D208" i="2" s="1" a="1"/>
  <c r="D208" i="2" s="1"/>
  <c r="V58" i="1"/>
  <c r="D130" i="2" s="1" a="1"/>
  <c r="D130" i="2" s="1"/>
  <c r="Z57" i="1"/>
  <c r="D441" i="2" s="1" a="1"/>
  <c r="D441" i="2" s="1"/>
  <c r="Y57" i="1"/>
  <c r="D363" i="2" s="1" a="1"/>
  <c r="D363" i="2" s="1"/>
  <c r="X57" i="1"/>
  <c r="D285" i="2" s="1" a="1"/>
  <c r="D285" i="2" s="1"/>
  <c r="W57" i="1"/>
  <c r="D207" i="2" s="1" a="1"/>
  <c r="D207" i="2" s="1"/>
  <c r="V57" i="1"/>
  <c r="D129" i="2" s="1" a="1"/>
  <c r="D129" i="2" s="1"/>
  <c r="Z56" i="1"/>
  <c r="D440" i="2" s="1" a="1"/>
  <c r="D440" i="2" s="1"/>
  <c r="Y56" i="1"/>
  <c r="D362" i="2" s="1" a="1"/>
  <c r="D362" i="2" s="1"/>
  <c r="X56" i="1"/>
  <c r="D284" i="2" s="1" a="1"/>
  <c r="D284" i="2" s="1"/>
  <c r="W56" i="1"/>
  <c r="D206" i="2" s="1" a="1"/>
  <c r="D206" i="2" s="1"/>
  <c r="V56" i="1"/>
  <c r="D128" i="2" s="1" a="1"/>
  <c r="D128" i="2" s="1"/>
  <c r="Z55" i="1"/>
  <c r="D439" i="2" s="1" a="1"/>
  <c r="D439" i="2" s="1"/>
  <c r="Y55" i="1"/>
  <c r="D361" i="2" s="1" a="1"/>
  <c r="D361" i="2" s="1"/>
  <c r="X55" i="1"/>
  <c r="D283" i="2" s="1" a="1"/>
  <c r="D283" i="2" s="1"/>
  <c r="W55" i="1"/>
  <c r="D205" i="2" s="1" a="1"/>
  <c r="D205" i="2" s="1"/>
  <c r="V55" i="1"/>
  <c r="D127" i="2" s="1" a="1"/>
  <c r="D127" i="2" s="1"/>
  <c r="Z54" i="1"/>
  <c r="D438" i="2" s="1" a="1"/>
  <c r="D438" i="2" s="1"/>
  <c r="Y54" i="1"/>
  <c r="D360" i="2" s="1" a="1"/>
  <c r="D360" i="2" s="1"/>
  <c r="X54" i="1"/>
  <c r="D282" i="2" s="1" a="1"/>
  <c r="D282" i="2" s="1"/>
  <c r="W54" i="1"/>
  <c r="D204" i="2" s="1" a="1"/>
  <c r="D204" i="2" s="1"/>
  <c r="V54" i="1"/>
  <c r="D126" i="2" s="1" a="1"/>
  <c r="D126" i="2" s="1"/>
  <c r="Z53" i="1"/>
  <c r="D437" i="2" s="1" a="1"/>
  <c r="D437" i="2" s="1"/>
  <c r="Y53" i="1"/>
  <c r="D359" i="2" s="1" a="1"/>
  <c r="D359" i="2" s="1"/>
  <c r="X53" i="1"/>
  <c r="D281" i="2" s="1" a="1"/>
  <c r="D281" i="2" s="1"/>
  <c r="W53" i="1"/>
  <c r="D203" i="2" s="1" a="1"/>
  <c r="D203" i="2" s="1"/>
  <c r="V53" i="1"/>
  <c r="D125" i="2" s="1" a="1"/>
  <c r="D125" i="2" s="1"/>
  <c r="Z52" i="1"/>
  <c r="D436" i="2" s="1" a="1"/>
  <c r="D436" i="2" s="1"/>
  <c r="Y52" i="1"/>
  <c r="D358" i="2" s="1" a="1"/>
  <c r="D358" i="2" s="1"/>
  <c r="X52" i="1"/>
  <c r="D280" i="2" s="1" a="1"/>
  <c r="D280" i="2" s="1"/>
  <c r="W52" i="1"/>
  <c r="D202" i="2" s="1" a="1"/>
  <c r="D202" i="2" s="1"/>
  <c r="V52" i="1"/>
  <c r="D124" i="2" s="1" a="1"/>
  <c r="D124" i="2" s="1"/>
  <c r="Z51" i="1"/>
  <c r="D435" i="2" s="1" a="1"/>
  <c r="D435" i="2" s="1"/>
  <c r="Y51" i="1"/>
  <c r="D357" i="2" s="1" a="1"/>
  <c r="D357" i="2" s="1"/>
  <c r="X51" i="1"/>
  <c r="D279" i="2" s="1" a="1"/>
  <c r="D279" i="2" s="1"/>
  <c r="W51" i="1"/>
  <c r="D201" i="2" s="1" a="1"/>
  <c r="D201" i="2" s="1"/>
  <c r="V51" i="1"/>
  <c r="D123" i="2" s="1" a="1"/>
  <c r="D123" i="2" s="1"/>
  <c r="Z50" i="1"/>
  <c r="D434" i="2" s="1" a="1"/>
  <c r="D434" i="2" s="1"/>
  <c r="Y50" i="1"/>
  <c r="D356" i="2" s="1" a="1"/>
  <c r="D356" i="2" s="1"/>
  <c r="X50" i="1"/>
  <c r="D278" i="2" s="1" a="1"/>
  <c r="D278" i="2" s="1"/>
  <c r="W50" i="1"/>
  <c r="D200" i="2" s="1" a="1"/>
  <c r="D200" i="2" s="1"/>
  <c r="V50" i="1"/>
  <c r="D122" i="2" s="1" a="1"/>
  <c r="D122" i="2" s="1"/>
  <c r="Z35" i="1"/>
  <c r="D419" i="2" s="1" a="1"/>
  <c r="D419" i="2" s="1"/>
  <c r="X35" i="1"/>
  <c r="D263" i="2" s="1" a="1"/>
  <c r="D263" i="2" s="1"/>
  <c r="V35" i="1"/>
  <c r="D107" i="2" s="1" a="1"/>
  <c r="D107" i="2" s="1"/>
  <c r="Z34" i="1"/>
  <c r="D418" i="2" s="1" a="1"/>
  <c r="D418" i="2" s="1"/>
  <c r="X34" i="1"/>
  <c r="D262" i="2" s="1" a="1"/>
  <c r="D262" i="2" s="1"/>
  <c r="V34" i="1"/>
  <c r="D106" i="2" s="1" a="1"/>
  <c r="D106" i="2" s="1"/>
  <c r="Z33" i="1"/>
  <c r="D417" i="2" s="1" a="1"/>
  <c r="D417" i="2" s="1"/>
  <c r="X33" i="1"/>
  <c r="D261" i="2" s="1" a="1"/>
  <c r="D261" i="2" s="1"/>
  <c r="V33" i="1"/>
  <c r="D105" i="2" s="1" a="1"/>
  <c r="D105" i="2" s="1"/>
  <c r="Z32" i="1"/>
  <c r="D416" i="2" s="1" a="1"/>
  <c r="D416" i="2" s="1"/>
  <c r="X32" i="1"/>
  <c r="D260" i="2" s="1" a="1"/>
  <c r="D260" i="2" s="1"/>
  <c r="V32" i="1"/>
  <c r="D104" i="2" s="1" a="1"/>
  <c r="D104" i="2" s="1"/>
  <c r="Z31" i="1"/>
  <c r="D415" i="2" s="1" a="1"/>
  <c r="D415" i="2" s="1"/>
  <c r="X31" i="1"/>
  <c r="D259" i="2" s="1" a="1"/>
  <c r="D259" i="2" s="1"/>
  <c r="V31" i="1"/>
  <c r="D103" i="2" s="1" a="1"/>
  <c r="D103" i="2" s="1"/>
  <c r="Z30" i="1"/>
  <c r="D414" i="2" s="1" a="1"/>
  <c r="D414" i="2" s="1"/>
  <c r="X30" i="1"/>
  <c r="D258" i="2" s="1" a="1"/>
  <c r="D258" i="2" s="1"/>
  <c r="V30" i="1"/>
  <c r="D102" i="2" s="1" a="1"/>
  <c r="D102" i="2" s="1"/>
  <c r="Z29" i="1"/>
  <c r="D413" i="2" s="1" a="1"/>
  <c r="D413" i="2" s="1"/>
  <c r="X29" i="1"/>
  <c r="D257" i="2" s="1" a="1"/>
  <c r="D257" i="2" s="1"/>
  <c r="V29" i="1"/>
  <c r="D101" i="2" s="1" a="1"/>
  <c r="D101" i="2" s="1"/>
  <c r="Z28" i="1"/>
  <c r="D412" i="2" s="1" a="1"/>
  <c r="D412" i="2" s="1"/>
  <c r="X28" i="1"/>
  <c r="D256" i="2" s="1" a="1"/>
  <c r="D256" i="2" s="1"/>
  <c r="V28" i="1"/>
  <c r="D100" i="2" s="1" a="1"/>
  <c r="D100" i="2" s="1"/>
  <c r="Z27" i="1"/>
  <c r="D411" i="2" s="1" a="1"/>
  <c r="D411" i="2" s="1"/>
  <c r="X27" i="1"/>
  <c r="D255" i="2" s="1" a="1"/>
  <c r="D255" i="2" s="1"/>
  <c r="V27" i="1"/>
  <c r="D99" i="2" s="1" a="1"/>
  <c r="D99" i="2" s="1"/>
  <c r="Z26" i="1"/>
  <c r="D410" i="2" s="1" a="1"/>
  <c r="D410" i="2" s="1"/>
  <c r="X26" i="1"/>
  <c r="D254" i="2" s="1" a="1"/>
  <c r="D254" i="2" s="1"/>
  <c r="V26" i="1"/>
  <c r="D98" i="2" s="1" a="1"/>
  <c r="D98" i="2" s="1"/>
  <c r="Z25" i="1"/>
  <c r="D409" i="2" s="1" a="1"/>
  <c r="D409" i="2" s="1"/>
  <c r="X25" i="1"/>
  <c r="D253" i="2" s="1" a="1"/>
  <c r="D253" i="2" s="1"/>
  <c r="V25" i="1"/>
  <c r="D97" i="2" s="1" a="1"/>
  <c r="D97" i="2" s="1"/>
  <c r="Z24" i="1"/>
  <c r="D408" i="2" s="1" a="1"/>
  <c r="D408" i="2" s="1"/>
  <c r="X24" i="1"/>
  <c r="D252" i="2" s="1" a="1"/>
  <c r="D252" i="2" s="1"/>
  <c r="Z22" i="1"/>
  <c r="D406" i="2" s="1" a="1"/>
  <c r="D406" i="2" s="1"/>
  <c r="X22" i="1"/>
  <c r="D250" i="2" s="1" a="1"/>
  <c r="D250" i="2" s="1"/>
  <c r="V22" i="1"/>
  <c r="D94" i="2" s="1" a="1"/>
  <c r="D94" i="2" s="1"/>
  <c r="Z21" i="1"/>
  <c r="D405" i="2" s="1" a="1"/>
  <c r="D405" i="2" s="1"/>
  <c r="X21" i="1"/>
  <c r="D249" i="2" s="1" a="1"/>
  <c r="D249" i="2" s="1"/>
  <c r="V21" i="1"/>
  <c r="D93" i="2" s="1" a="1"/>
  <c r="D93" i="2" s="1"/>
  <c r="Z20" i="1"/>
  <c r="D404" i="2" s="1" a="1"/>
  <c r="D404" i="2" s="1"/>
  <c r="X20" i="1"/>
  <c r="D248" i="2" s="1" a="1"/>
  <c r="D248" i="2" s="1"/>
  <c r="V20" i="1"/>
  <c r="D92" i="2" s="1" a="1"/>
  <c r="D92" i="2" s="1"/>
  <c r="Z19" i="1"/>
  <c r="D403" i="2" s="1" a="1"/>
  <c r="D403" i="2" s="1"/>
  <c r="X19" i="1"/>
  <c r="D247" i="2" s="1" a="1"/>
  <c r="D247" i="2" s="1"/>
  <c r="V19" i="1"/>
  <c r="D91" i="2" s="1" a="1"/>
  <c r="D91" i="2" s="1"/>
  <c r="Z18" i="1"/>
  <c r="D402" i="2" s="1" a="1"/>
  <c r="D402" i="2" s="1"/>
  <c r="X18" i="1"/>
  <c r="D246" i="2" s="1" a="1"/>
  <c r="D246" i="2" s="1"/>
  <c r="V18" i="1"/>
  <c r="D90" i="2" s="1" a="1"/>
  <c r="D90" i="2" s="1"/>
  <c r="Z17" i="1"/>
  <c r="D401" i="2" s="1" a="1"/>
  <c r="D401" i="2" s="1"/>
  <c r="X17" i="1"/>
  <c r="D245" i="2" s="1" a="1"/>
  <c r="D245" i="2" s="1"/>
  <c r="V17" i="1"/>
  <c r="D89" i="2" s="1" a="1"/>
  <c r="D89" i="2" s="1"/>
  <c r="Z16" i="1"/>
  <c r="D400" i="2" s="1" a="1"/>
  <c r="D400" i="2" s="1"/>
  <c r="X16" i="1"/>
  <c r="D244" i="2" s="1" a="1"/>
  <c r="D244" i="2" s="1"/>
  <c r="V16" i="1"/>
  <c r="D88" i="2" s="1" a="1"/>
  <c r="D88" i="2" s="1"/>
  <c r="Z15" i="1"/>
  <c r="D399" i="2" s="1" a="1"/>
  <c r="D399" i="2" s="1"/>
  <c r="X15" i="1"/>
  <c r="D243" i="2" s="1" a="1"/>
  <c r="D243" i="2" s="1"/>
  <c r="V15" i="1"/>
  <c r="D87" i="2" s="1" a="1"/>
  <c r="D87" i="2" s="1"/>
  <c r="Z14" i="1"/>
  <c r="D398" i="2" s="1" a="1"/>
  <c r="D398" i="2" s="1"/>
  <c r="X14" i="1"/>
  <c r="D242" i="2" s="1" a="1"/>
  <c r="D242" i="2" s="1"/>
  <c r="V14" i="1"/>
  <c r="D86" i="2" s="1" a="1"/>
  <c r="D86" i="2" s="1"/>
  <c r="Z13" i="1"/>
  <c r="D397" i="2" s="1" a="1"/>
  <c r="D397" i="2" s="1"/>
  <c r="X13" i="1"/>
  <c r="D241" i="2" s="1" a="1"/>
  <c r="D241" i="2" s="1"/>
  <c r="V13" i="1"/>
  <c r="D85" i="2" s="1" a="1"/>
  <c r="D85" i="2" s="1"/>
  <c r="Z12" i="1"/>
  <c r="D396" i="2" s="1" a="1"/>
  <c r="D396" i="2" s="1"/>
  <c r="X12" i="1"/>
  <c r="D240" i="2" s="1" a="1"/>
  <c r="D240" i="2" s="1"/>
  <c r="V12" i="1"/>
  <c r="D84" i="2" s="1" a="1"/>
  <c r="D84" i="2" s="1"/>
  <c r="Z11" i="1"/>
  <c r="D395" i="2" s="1" a="1"/>
  <c r="D395" i="2" s="1"/>
  <c r="X11" i="1"/>
  <c r="D239" i="2" s="1" a="1"/>
  <c r="D239" i="2" s="1"/>
  <c r="V11" i="1"/>
  <c r="D83" i="2" s="1" a="1"/>
  <c r="D83" i="2" s="1"/>
  <c r="W11" i="1" l="1"/>
  <c r="D161" i="2" s="1" a="1"/>
  <c r="D161" i="2" s="1"/>
  <c r="W12" i="1"/>
  <c r="D162" i="2" s="1" a="1"/>
  <c r="D162" i="2" s="1"/>
  <c r="W13" i="1"/>
  <c r="D163" i="2" s="1" a="1"/>
  <c r="D163" i="2" s="1"/>
  <c r="W14" i="1"/>
  <c r="D164" i="2" s="1" a="1"/>
  <c r="D164" i="2" s="1"/>
  <c r="W15" i="1"/>
  <c r="D165" i="2" s="1" a="1"/>
  <c r="D165" i="2" s="1"/>
  <c r="W16" i="1"/>
  <c r="D166" i="2" s="1" a="1"/>
  <c r="D166" i="2" s="1"/>
  <c r="W17" i="1"/>
  <c r="D167" i="2" s="1" a="1"/>
  <c r="D167" i="2" s="1"/>
  <c r="W18" i="1"/>
  <c r="D168" i="2" s="1" a="1"/>
  <c r="D168" i="2" s="1"/>
  <c r="W19" i="1"/>
  <c r="D169" i="2" s="1" a="1"/>
  <c r="D169" i="2" s="1"/>
  <c r="W20" i="1"/>
  <c r="D170" i="2" s="1" a="1"/>
  <c r="D170" i="2" s="1"/>
  <c r="W21" i="1"/>
  <c r="D171" i="2" s="1" a="1"/>
  <c r="D171" i="2" s="1"/>
  <c r="W22" i="1"/>
  <c r="D172" i="2" s="1" a="1"/>
  <c r="D172" i="2" s="1"/>
  <c r="W24" i="1"/>
  <c r="D174" i="2" s="1" a="1"/>
  <c r="D174" i="2" s="1"/>
  <c r="W25" i="1"/>
  <c r="D175" i="2" s="1" a="1"/>
  <c r="D175" i="2" s="1"/>
  <c r="W26" i="1"/>
  <c r="D176" i="2" s="1" a="1"/>
  <c r="D176" i="2" s="1"/>
  <c r="W27" i="1"/>
  <c r="D177" i="2" s="1" a="1"/>
  <c r="D177" i="2" s="1"/>
  <c r="W28" i="1"/>
  <c r="D178" i="2" s="1" a="1"/>
  <c r="D178" i="2" s="1"/>
  <c r="W29" i="1"/>
  <c r="D179" i="2" s="1" a="1"/>
  <c r="D179" i="2" s="1"/>
  <c r="W30" i="1"/>
  <c r="D180" i="2" s="1" a="1"/>
  <c r="D180" i="2" s="1"/>
  <c r="W31" i="1"/>
  <c r="D181" i="2" s="1" a="1"/>
  <c r="D181" i="2" s="1"/>
  <c r="W32" i="1"/>
  <c r="D182" i="2" s="1" a="1"/>
  <c r="D182" i="2" s="1"/>
  <c r="W33" i="1"/>
  <c r="D183" i="2" s="1" a="1"/>
  <c r="D183" i="2" s="1"/>
  <c r="W34" i="1"/>
  <c r="D184" i="2" s="1" a="1"/>
  <c r="D184" i="2" s="1"/>
  <c r="W35" i="1"/>
  <c r="D185" i="2" s="1" a="1"/>
  <c r="D185" i="2" s="1"/>
  <c r="Y12" i="1"/>
  <c r="D318" i="2" s="1" a="1"/>
  <c r="D318" i="2" s="1"/>
  <c r="Y14" i="1"/>
  <c r="D320" i="2" s="1" a="1"/>
  <c r="D320" i="2" s="1"/>
  <c r="Y16" i="1"/>
  <c r="D322" i="2" s="1" a="1"/>
  <c r="D322" i="2" s="1"/>
  <c r="Y19" i="1"/>
  <c r="D325" i="2" s="1" a="1"/>
  <c r="D325" i="2" s="1"/>
  <c r="Y21" i="1"/>
  <c r="D327" i="2" s="1" a="1"/>
  <c r="D327" i="2" s="1"/>
  <c r="Y24" i="1"/>
  <c r="D330" i="2" s="1" a="1"/>
  <c r="D330" i="2" s="1"/>
  <c r="Y27" i="1"/>
  <c r="D333" i="2" s="1" a="1"/>
  <c r="D333" i="2" s="1"/>
  <c r="Y11" i="1"/>
  <c r="D317" i="2" s="1" a="1"/>
  <c r="D317" i="2" s="1"/>
  <c r="Y13" i="1"/>
  <c r="D319" i="2" s="1" a="1"/>
  <c r="D319" i="2" s="1"/>
  <c r="Y15" i="1"/>
  <c r="D321" i="2" s="1" a="1"/>
  <c r="D321" i="2" s="1"/>
  <c r="Y17" i="1"/>
  <c r="D323" i="2" s="1" a="1"/>
  <c r="D323" i="2" s="1"/>
  <c r="Y18" i="1"/>
  <c r="D324" i="2" s="1" a="1"/>
  <c r="D324" i="2" s="1"/>
  <c r="Y20" i="1"/>
  <c r="D326" i="2" s="1" a="1"/>
  <c r="D326" i="2" s="1"/>
  <c r="Y22" i="1"/>
  <c r="D328" i="2" s="1" a="1"/>
  <c r="D328" i="2" s="1"/>
  <c r="Y25" i="1"/>
  <c r="D331" i="2" s="1" a="1"/>
  <c r="D331" i="2" s="1"/>
  <c r="Y26" i="1"/>
  <c r="D332" i="2" s="1" a="1"/>
  <c r="D332" i="2" s="1"/>
  <c r="Y28" i="1"/>
  <c r="D334" i="2" s="1" a="1"/>
  <c r="D334" i="2" s="1"/>
  <c r="Y29" i="1"/>
  <c r="D335" i="2" s="1" a="1"/>
  <c r="D335" i="2" s="1"/>
  <c r="Y30" i="1"/>
  <c r="D336" i="2" s="1" a="1"/>
  <c r="D336" i="2" s="1"/>
  <c r="Y31" i="1"/>
  <c r="D337" i="2" s="1" a="1"/>
  <c r="D337" i="2" s="1"/>
  <c r="Y32" i="1"/>
  <c r="D338" i="2" s="1" a="1"/>
  <c r="D338" i="2" s="1"/>
  <c r="Y33" i="1"/>
  <c r="D339" i="2" s="1" a="1"/>
  <c r="D339" i="2" s="1"/>
  <c r="Y34" i="1"/>
  <c r="D340" i="2" s="1" a="1"/>
  <c r="D340" i="2" s="1"/>
  <c r="Y35" i="1"/>
  <c r="D341" i="2" s="1" a="1"/>
  <c r="D341" i="2" s="1"/>
</calcChain>
</file>

<file path=xl/sharedStrings.xml><?xml version="1.0" encoding="utf-8"?>
<sst xmlns="http://schemas.openxmlformats.org/spreadsheetml/2006/main" count="22" uniqueCount="17">
  <si>
    <t>Visual Table</t>
  </si>
  <si>
    <t>3P Cost / order</t>
  </si>
  <si>
    <t>Staff Cost / hr.</t>
  </si>
  <si>
    <t>V. Cost/order</t>
  </si>
  <si>
    <t>Utilization%</t>
  </si>
  <si>
    <t xml:space="preserve">Internal % </t>
  </si>
  <si>
    <t>Orders/Hr./Driver</t>
  </si>
  <si>
    <t>SAR/Hr. (Profit vs. 3P)</t>
  </si>
  <si>
    <t>CAPACITY (Orders/hr./driver)</t>
  </si>
  <si>
    <t>DRIVERS</t>
  </si>
  <si>
    <t>DEMAND</t>
  </si>
  <si>
    <t>CAPACITY</t>
  </si>
  <si>
    <t>PROFIT</t>
  </si>
  <si>
    <t>PROFIT MATRIX (EFT vs. 3P)</t>
  </si>
  <si>
    <t>Utilization %</t>
  </si>
  <si>
    <t>Internal %</t>
  </si>
  <si>
    <t>Actual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</si>
</sst>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0" applyFont="1"/>
    <xf numFmtId="0" fontId="2" fillId="2" borderId="1" xfId="0" applyFont="1" applyFill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2" borderId="2" xfId="0" applyFont="1" applyFill="1" applyBorder="1"/>
    <xf numFmtId="0" fontId="0" fillId="3" borderId="2" xfId="0" applyFill="1" applyBorder="1"/>
    <xf numFmtId="0" fontId="2" fillId="2" borderId="3" xfId="0" applyFont="1" applyFill="1" applyBorder="1"/>
    <xf numFmtId="0" fontId="0" fillId="3" borderId="3" xfId="0" applyFill="1" applyBorder="1"/>
    <xf numFmtId="0" fontId="2" fillId="2" borderId="4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2" fillId="0" borderId="0" xfId="0" applyFont="1"/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9" fontId="0" fillId="0" borderId="13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4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0" fillId="0" borderId="0" xfId="0" applyNumberFormat="1"/>
    <xf numFmtId="9" fontId="0" fillId="0" borderId="13" xfId="2" applyFont="1" applyBorder="1" applyAlignment="1">
      <alignment horizontal="center"/>
    </xf>
    <xf numFmtId="9" fontId="0" fillId="0" borderId="0" xfId="2" applyFont="1" applyBorder="1" applyAlignment="1">
      <alignment horizontal="center"/>
    </xf>
    <xf numFmtId="9" fontId="0" fillId="0" borderId="14" xfId="2" applyFont="1" applyBorder="1" applyAlignment="1">
      <alignment horizontal="center"/>
    </xf>
    <xf numFmtId="9" fontId="0" fillId="0" borderId="10" xfId="2" applyFont="1" applyBorder="1" applyAlignment="1">
      <alignment horizontal="center"/>
    </xf>
    <xf numFmtId="9" fontId="0" fillId="0" borderId="11" xfId="2" applyFont="1" applyBorder="1" applyAlignment="1">
      <alignment horizontal="center"/>
    </xf>
    <xf numFmtId="9" fontId="0" fillId="0" borderId="12" xfId="2" applyFont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43" fontId="0" fillId="0" borderId="0" xfId="1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2" borderId="14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8" xfId="2" applyFont="1" applyBorder="1" applyAlignment="1">
      <alignment horizontal="center"/>
    </xf>
    <xf numFmtId="9" fontId="0" fillId="0" borderId="9" xfId="2" applyFon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9" fontId="0" fillId="0" borderId="9" xfId="0" applyNumberFormat="1" applyBorder="1" applyAlignment="1">
      <alignment horizontal="center"/>
    </xf>
    <xf numFmtId="9" fontId="0" fillId="0" borderId="0" xfId="2" applyFont="1"/>
    <xf numFmtId="2" fontId="0" fillId="0" borderId="0" xfId="2" applyNumberFormat="1" applyFont="1"/>
    <xf numFmtId="2" fontId="0" fillId="0" borderId="0" xfId="0" applyNumberFormat="1"/>
    <xf numFmtId="0" fontId="0" fillId="3" borderId="0" xfId="0" applyFill="1" applyBorder="1"/>
    <xf numFmtId="9" fontId="2" fillId="2" borderId="0" xfId="0" applyNumberFormat="1" applyFont="1" applyFill="1" applyBorder="1" applyAlignment="1">
      <alignment horizontal="center"/>
    </xf>
    <xf numFmtId="9" fontId="2" fillId="2" borderId="11" xfId="0" applyNumberFormat="1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43" fontId="0" fillId="0" borderId="0" xfId="1" applyNumberFormat="1" applyFont="1"/>
    <xf numFmtId="0" fontId="5" fillId="2" borderId="0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6">
    <dxf>
      <numFmt numFmtId="2" formatCode="0.00"/>
    </dxf>
    <dxf>
      <numFmt numFmtId="13" formatCode="0%"/>
    </dxf>
    <dxf>
      <numFmt numFmtId="35" formatCode="_(* #,##0.00_);_(* \(#,##0.0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theme="4" tint="0.59999389629810485"/>
        </patternFill>
      </fill>
      <alignment horizontal="center" vertical="bottom" textRotation="0" wrapText="0" indent="0" justifyLastLine="0" shrinkToFit="0" readingOrder="0"/>
    </dxf>
    <dxf>
      <border outline="0">
        <left style="thin">
          <color indexed="64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3:G471" totalsRowShown="0" tableBorderDxfId="5">
  <autoFilter ref="A3:G471"/>
  <sortState ref="A4:G471">
    <sortCondition ref="C3:C471"/>
  </sortState>
  <tableColumns count="7">
    <tableColumn id="1" name="DRIVERS" dataDxfId="4"/>
    <tableColumn id="2" name="DEMAND" dataDxfId="3"/>
    <tableColumn id="3" name="CAPACITY"/>
    <tableColumn id="4" name="PROFIT" dataDxfId="2" dataCellStyle="Comma">
      <calculatedColumnFormula array="1">+INDEX('OUTCOME MODEL'!$U$10:$Z$87,MATCH(Table1[[#This Row],[DRIVERS]]&amp;Table1[[#This Row],[DEMAND]],'OUTCOME MODEL'!$A$10:$A$87&amp;'OUTCOME MODEL'!$B$10:$B$87,0),MATCH(Table1[[#This Row],[CAPACITY]],'OUTCOME MODEL'!$U$9:$Z$9))</calculatedColumnFormula>
    </tableColumn>
    <tableColumn id="5" name="Utilization %" dataCellStyle="Percent">
      <calculatedColumnFormula array="1">+INDEX('OUTCOME MODEL'!$C$10:$H$87,MATCH(Table1[[#This Row],[DRIVERS]]&amp;Table1[[#This Row],[DEMAND]],'OUTCOME MODEL'!$A$10:$A$87&amp;'OUTCOME MODEL'!$B$10:$B$87,0),MATCH(Table1[[#This Row],[CAPACITY]],'OUTCOME MODEL'!$C$9:$H$9))</calculatedColumnFormula>
    </tableColumn>
    <tableColumn id="6" name="Internal %" dataDxfId="1" dataCellStyle="Percent">
      <calculatedColumnFormula array="1">+INDEX('OUTCOME MODEL'!$I$10:$N$87,MATCH(Table1[[#This Row],[DRIVERS]]&amp;Table1[[#This Row],[DEMAND]],'OUTCOME MODEL'!$A$10:$A$87&amp;'OUTCOME MODEL'!$B$10:$B$87,0),MATCH(Table1[[#This Row],[CAPACITY]],'OUTCOME MODEL'!$I$9:$N$9))</calculatedColumnFormula>
    </tableColumn>
    <tableColumn id="7" name="Actual Capacity" dataDxfId="0">
      <calculatedColumnFormula array="1">+INDEX('OUTCOME MODEL'!$O$10:$T$87,MATCH(Table1[[#This Row],[DRIVERS]]&amp;Table1[[#This Row],[DEMAND]],'OUTCOME MODEL'!$A$10:$A$87&amp;'OUTCOME MODEL'!$B$10:$B$87,0),MATCH(Table1[[#This Row],[CAPACITY]],'OUTCOME MODEL'!$O$9:$T$9))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9" tint="0.39997558519241921"/>
    <pageSetUpPr fitToPage="1"/>
  </sheetPr>
  <dimension ref="A1:Z124"/>
  <sheetViews>
    <sheetView showGridLines="0" zoomScale="82" zoomScaleNormal="100" workbookViewId="0">
      <selection activeCell="B6" sqref="B6"/>
    </sheetView>
  </sheetViews>
  <sheetFormatPr defaultRowHeight="14.5" x14ac:dyDescent="0.35"/>
  <cols>
    <col min="1" max="1" width="14.1796875" bestFit="1" customWidth="1"/>
    <col min="4" max="4" width="12.453125" customWidth="1"/>
    <col min="5" max="5" width="14.7265625" customWidth="1"/>
    <col min="6" max="6" width="12.1796875" customWidth="1"/>
    <col min="7" max="7" width="12" customWidth="1"/>
    <col min="8" max="9" width="12.81640625" customWidth="1"/>
    <col min="10" max="10" width="10.453125" customWidth="1"/>
    <col min="11" max="11" width="10.54296875" customWidth="1"/>
    <col min="12" max="15" width="9.1796875" customWidth="1"/>
    <col min="16" max="16" width="10.453125" customWidth="1"/>
    <col min="17" max="21" width="9.1796875" customWidth="1"/>
    <col min="22" max="22" width="10.453125" bestFit="1" customWidth="1"/>
  </cols>
  <sheetData>
    <row r="1" spans="1:26" x14ac:dyDescent="0.35">
      <c r="A1" s="1" t="s">
        <v>0</v>
      </c>
      <c r="P1">
        <f>1.5*(14.75-6)</f>
        <v>13.125</v>
      </c>
    </row>
    <row r="3" spans="1:26" x14ac:dyDescent="0.35">
      <c r="A3" s="2" t="s">
        <v>1</v>
      </c>
      <c r="B3" s="3">
        <v>14.75</v>
      </c>
      <c r="C3" s="61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26" x14ac:dyDescent="0.35">
      <c r="A4" s="5" t="s">
        <v>2</v>
      </c>
      <c r="B4" s="6">
        <v>0</v>
      </c>
      <c r="C4" s="61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26" x14ac:dyDescent="0.35">
      <c r="A5" s="7" t="s">
        <v>3</v>
      </c>
      <c r="B5" s="8">
        <v>6</v>
      </c>
      <c r="C5" s="61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26" x14ac:dyDescent="0.35"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26" x14ac:dyDescent="0.35">
      <c r="C7" s="9" t="s">
        <v>4</v>
      </c>
      <c r="D7" s="9"/>
      <c r="E7" s="10"/>
      <c r="F7" s="10"/>
      <c r="G7" s="10"/>
      <c r="H7" s="11"/>
      <c r="I7" s="12" t="s">
        <v>5</v>
      </c>
      <c r="J7" s="12"/>
      <c r="K7" s="10"/>
      <c r="L7" s="10"/>
      <c r="M7" s="10"/>
      <c r="N7" s="11"/>
      <c r="O7" s="13" t="s">
        <v>6</v>
      </c>
      <c r="P7" s="13"/>
      <c r="Q7" s="10"/>
      <c r="R7" s="10"/>
      <c r="S7" s="10"/>
      <c r="T7" s="11"/>
      <c r="U7" s="13" t="s">
        <v>7</v>
      </c>
      <c r="V7" s="13"/>
      <c r="W7" s="10"/>
      <c r="X7" s="10"/>
      <c r="Y7" s="10"/>
      <c r="Z7" s="11"/>
    </row>
    <row r="8" spans="1:26" x14ac:dyDescent="0.35">
      <c r="A8" s="14"/>
      <c r="B8" s="14"/>
      <c r="C8" s="15" t="s">
        <v>8</v>
      </c>
      <c r="D8" s="15"/>
      <c r="E8" s="16"/>
      <c r="F8" s="16"/>
      <c r="G8" s="16"/>
      <c r="H8" s="17"/>
      <c r="I8" s="15" t="s">
        <v>8</v>
      </c>
      <c r="J8" s="15"/>
      <c r="K8" s="16"/>
      <c r="L8" s="16"/>
      <c r="M8" s="16"/>
      <c r="N8" s="17"/>
      <c r="O8" s="15" t="s">
        <v>8</v>
      </c>
      <c r="P8" s="15"/>
      <c r="Q8" s="16"/>
      <c r="R8" s="16"/>
      <c r="S8" s="16"/>
      <c r="T8" s="17"/>
      <c r="U8" s="15" t="s">
        <v>8</v>
      </c>
      <c r="V8" s="15"/>
      <c r="W8" s="16"/>
      <c r="X8" s="16"/>
      <c r="Y8" s="16"/>
      <c r="Z8" s="17"/>
    </row>
    <row r="9" spans="1:26" x14ac:dyDescent="0.35">
      <c r="A9" s="12" t="s">
        <v>9</v>
      </c>
      <c r="B9" s="11" t="s">
        <v>10</v>
      </c>
      <c r="C9" s="19">
        <v>1</v>
      </c>
      <c r="D9" s="18">
        <v>1.5</v>
      </c>
      <c r="E9" s="19">
        <v>2</v>
      </c>
      <c r="F9" s="19">
        <v>2.5</v>
      </c>
      <c r="G9" s="19">
        <v>3</v>
      </c>
      <c r="H9" s="20">
        <v>3.5</v>
      </c>
      <c r="I9" s="19">
        <v>1</v>
      </c>
      <c r="J9" s="18">
        <v>1.5</v>
      </c>
      <c r="K9" s="19">
        <v>2</v>
      </c>
      <c r="L9" s="19">
        <v>2.5</v>
      </c>
      <c r="M9" s="19">
        <v>3</v>
      </c>
      <c r="N9" s="20">
        <v>3.5</v>
      </c>
      <c r="O9" s="19">
        <v>1</v>
      </c>
      <c r="P9" s="18">
        <v>1.5</v>
      </c>
      <c r="Q9" s="19">
        <v>2</v>
      </c>
      <c r="R9" s="19">
        <v>2.5</v>
      </c>
      <c r="S9" s="19">
        <v>3</v>
      </c>
      <c r="T9" s="20">
        <v>3.5</v>
      </c>
      <c r="U9" s="19">
        <v>1</v>
      </c>
      <c r="V9" s="18">
        <v>1.5</v>
      </c>
      <c r="W9" s="19">
        <v>2</v>
      </c>
      <c r="X9" s="19">
        <v>2.5</v>
      </c>
      <c r="Y9" s="19">
        <v>3</v>
      </c>
      <c r="Z9" s="20">
        <v>3.5</v>
      </c>
    </row>
    <row r="10" spans="1:26" x14ac:dyDescent="0.35">
      <c r="A10" s="21">
        <v>1</v>
      </c>
      <c r="B10" s="22">
        <v>0</v>
      </c>
      <c r="C10" s="62">
        <v>0</v>
      </c>
      <c r="D10" s="52">
        <v>0</v>
      </c>
      <c r="E10" s="53">
        <v>0</v>
      </c>
      <c r="F10" s="53">
        <v>0</v>
      </c>
      <c r="G10" s="53">
        <v>0</v>
      </c>
      <c r="H10" s="54">
        <v>0</v>
      </c>
      <c r="I10" s="53"/>
      <c r="J10" s="55">
        <v>0</v>
      </c>
      <c r="K10" s="56">
        <v>0</v>
      </c>
      <c r="L10" s="56">
        <v>0</v>
      </c>
      <c r="M10" s="56">
        <v>0</v>
      </c>
      <c r="N10" s="57">
        <v>0</v>
      </c>
      <c r="O10" s="35">
        <f t="shared" ref="O10:P25" si="0">IF((C10*O$9*$A10)&gt;$B10,$B10/$A10,(C10*O$9))</f>
        <v>0</v>
      </c>
      <c r="P10" s="35">
        <f t="shared" si="0"/>
        <v>0</v>
      </c>
      <c r="Q10" s="36">
        <f t="shared" ref="Q10:Q73" si="1">IF((E10*Q$9*$A10)&gt;$B10,$B10/$A10,(E10*Q$9))</f>
        <v>0</v>
      </c>
      <c r="R10" s="36">
        <f t="shared" ref="R10:R73" si="2">IF((F10*R$9*$A10)&gt;$B10,$B10/$A10,(F10*R$9))</f>
        <v>0</v>
      </c>
      <c r="S10" s="36">
        <f t="shared" ref="S10:S73" si="3">IF((G10*S$9*$A10)&gt;$B10,$B10/$A10,(G10*S$9))</f>
        <v>0</v>
      </c>
      <c r="T10" s="37">
        <f t="shared" ref="T10:T73" si="4">IF((H10*T$9*$A10)&gt;$B10,$B10/$A10,(H10*T$9))</f>
        <v>0</v>
      </c>
      <c r="U10" s="35">
        <f>(O10*$A10*$B$3)-(($B$4*$A10)+(O10*$B$5*$A10))</f>
        <v>0</v>
      </c>
      <c r="V10" s="35">
        <f>(P10*$A10*$B$3)-(($B$4*$A10)+(P10*$B$5*$A10))</f>
        <v>0</v>
      </c>
      <c r="W10" s="36">
        <f t="shared" ref="W10" si="5">(Q10*$A10*$B$3)-(($B$4*$A10)+(Q10*$B$5*$A10))</f>
        <v>0</v>
      </c>
      <c r="X10" s="36">
        <f t="shared" ref="X10" si="6">(R10*$A10*$B$3)-(($B$4*$A10)+(R10*$B$5*$A10))</f>
        <v>0</v>
      </c>
      <c r="Y10" s="36">
        <f t="shared" ref="Y10" si="7">(S10*$A10*$B$3)-(($B$4*$A10)+(S10*$B$5*$A10))</f>
        <v>0</v>
      </c>
      <c r="Z10" s="37">
        <f t="shared" ref="Z10" si="8">(T10*$A10*$B$3)-(($B$4*$A10)+(T10*$B$5*$A10))</f>
        <v>0</v>
      </c>
    </row>
    <row r="11" spans="1:26" x14ac:dyDescent="0.35">
      <c r="A11" s="21">
        <v>1</v>
      </c>
      <c r="B11" s="22">
        <v>1</v>
      </c>
      <c r="C11" s="62">
        <v>0.54</v>
      </c>
      <c r="D11" s="39">
        <v>0.49791449924271503</v>
      </c>
      <c r="E11" s="40">
        <v>0.46487493586167061</v>
      </c>
      <c r="F11" s="40">
        <v>0.42961862757101227</v>
      </c>
      <c r="G11" s="40">
        <v>0.40262708883667497</v>
      </c>
      <c r="H11" s="41">
        <v>0.36522103156045677</v>
      </c>
      <c r="I11" s="40"/>
      <c r="J11" s="23">
        <v>0.61799999999999999</v>
      </c>
      <c r="K11" s="24">
        <v>0.73399999999999999</v>
      </c>
      <c r="L11" s="24">
        <v>0.81599999999999995</v>
      </c>
      <c r="M11" s="24">
        <v>0.876</v>
      </c>
      <c r="N11" s="25">
        <v>0.92200000000000004</v>
      </c>
      <c r="O11" s="35">
        <f t="shared" si="0"/>
        <v>0.54</v>
      </c>
      <c r="P11" s="26">
        <f t="shared" si="0"/>
        <v>0.74687174886407259</v>
      </c>
      <c r="Q11" s="27">
        <f t="shared" si="1"/>
        <v>0.92974987172334123</v>
      </c>
      <c r="R11" s="27">
        <f t="shared" si="2"/>
        <v>1</v>
      </c>
      <c r="S11" s="27">
        <f t="shared" si="3"/>
        <v>1</v>
      </c>
      <c r="T11" s="28">
        <f t="shared" si="4"/>
        <v>1</v>
      </c>
      <c r="U11" s="35">
        <f t="shared" ref="U11:U74" si="9">(O11*$A11*$B$3)-(($B$4*$A11)+(O11*$B$5*$A11))</f>
        <v>4.7250000000000005</v>
      </c>
      <c r="V11" s="26">
        <f>(P11*$A11*$B$3)-(($B$4*$A11)+(P11*$B$5*$A11))</f>
        <v>6.5351278025606359</v>
      </c>
      <c r="W11" s="27">
        <f t="shared" ref="W11:Z12" si="10">(Q11*$A11*$B$3)-(($B$4*$A11)+(Q11*$B$5*$A11))</f>
        <v>8.1353113775792352</v>
      </c>
      <c r="X11" s="27">
        <f t="shared" si="10"/>
        <v>8.75</v>
      </c>
      <c r="Y11" s="27">
        <f t="shared" si="10"/>
        <v>8.75</v>
      </c>
      <c r="Z11" s="28">
        <f t="shared" si="10"/>
        <v>8.75</v>
      </c>
    </row>
    <row r="12" spans="1:26" x14ac:dyDescent="0.35">
      <c r="A12" s="21">
        <v>1</v>
      </c>
      <c r="B12" s="22">
        <v>2</v>
      </c>
      <c r="C12" s="62">
        <v>0.77</v>
      </c>
      <c r="D12" s="39">
        <v>0.74738904190795408</v>
      </c>
      <c r="E12" s="40">
        <v>0.72617447784832212</v>
      </c>
      <c r="F12" s="40">
        <v>0.68622085699804547</v>
      </c>
      <c r="G12" s="40">
        <v>0.65873073908766622</v>
      </c>
      <c r="H12" s="41">
        <v>0.63340981272633712</v>
      </c>
      <c r="I12" s="40"/>
      <c r="J12" s="23">
        <v>0.48399999999999999</v>
      </c>
      <c r="K12" s="24">
        <v>0.57799999999999996</v>
      </c>
      <c r="L12" s="24">
        <v>0.60899999999999999</v>
      </c>
      <c r="M12" s="24">
        <v>0.73799999999999999</v>
      </c>
      <c r="N12" s="25">
        <v>0.78300000000000003</v>
      </c>
      <c r="O12" s="35">
        <f t="shared" si="0"/>
        <v>0.77</v>
      </c>
      <c r="P12" s="26">
        <f t="shared" si="0"/>
        <v>1.1210835628619311</v>
      </c>
      <c r="Q12" s="27">
        <f t="shared" si="1"/>
        <v>1.4523489556966442</v>
      </c>
      <c r="R12" s="27">
        <f t="shared" si="2"/>
        <v>1.7155521424951137</v>
      </c>
      <c r="S12" s="27">
        <f t="shared" si="3"/>
        <v>1.9761922172629987</v>
      </c>
      <c r="T12" s="28">
        <f t="shared" si="4"/>
        <v>2</v>
      </c>
      <c r="U12" s="35">
        <f t="shared" si="9"/>
        <v>6.7374999999999998</v>
      </c>
      <c r="V12" s="26">
        <f t="shared" ref="V12" si="11">(P12*$A12*$B$3)-(($B$4*$A12)+(P12*$B$5*$A12))</f>
        <v>9.8094811750418955</v>
      </c>
      <c r="W12" s="27">
        <f t="shared" si="10"/>
        <v>12.708053362345638</v>
      </c>
      <c r="X12" s="27">
        <f t="shared" si="10"/>
        <v>15.011081246832244</v>
      </c>
      <c r="Y12" s="27">
        <f t="shared" si="10"/>
        <v>17.291681901051238</v>
      </c>
      <c r="Z12" s="28">
        <f t="shared" si="10"/>
        <v>17.5</v>
      </c>
    </row>
    <row r="13" spans="1:26" x14ac:dyDescent="0.35">
      <c r="A13" s="21">
        <v>1</v>
      </c>
      <c r="B13" s="22">
        <v>3</v>
      </c>
      <c r="C13" s="62">
        <v>0.9</v>
      </c>
      <c r="D13" s="39">
        <v>0.88276545150341912</v>
      </c>
      <c r="E13" s="40">
        <v>0.87876777309352705</v>
      </c>
      <c r="F13" s="40">
        <v>0.8216602428644697</v>
      </c>
      <c r="G13" s="40">
        <v>0.81076419774563213</v>
      </c>
      <c r="H13" s="41">
        <v>0.79301021223838486</v>
      </c>
      <c r="I13" s="40"/>
      <c r="J13" s="23">
        <v>0.36899999999999999</v>
      </c>
      <c r="K13" s="24">
        <v>0.48099999999999998</v>
      </c>
      <c r="L13" s="24">
        <v>0.53600000000000003</v>
      </c>
      <c r="M13" s="24">
        <v>0.59399999999999997</v>
      </c>
      <c r="N13" s="25">
        <v>0.65100000000000002</v>
      </c>
      <c r="O13" s="35">
        <f t="shared" si="0"/>
        <v>0.9</v>
      </c>
      <c r="P13" s="26">
        <f t="shared" si="0"/>
        <v>1.3241481772551287</v>
      </c>
      <c r="Q13" s="27">
        <f t="shared" si="1"/>
        <v>1.7575355461870541</v>
      </c>
      <c r="R13" s="27">
        <f t="shared" si="2"/>
        <v>2.0541506071611741</v>
      </c>
      <c r="S13" s="27">
        <f t="shared" si="3"/>
        <v>2.4322925932368964</v>
      </c>
      <c r="T13" s="28">
        <f t="shared" si="4"/>
        <v>2.775535742834347</v>
      </c>
      <c r="U13" s="35">
        <f t="shared" si="9"/>
        <v>7.875</v>
      </c>
      <c r="V13" s="26">
        <f t="shared" ref="V13:V46" si="12">(P13*$A13*$B$3)-(($B$4*$A13)+(P13*$B$5*$A13))</f>
        <v>11.586296550982377</v>
      </c>
      <c r="W13" s="27">
        <f t="shared" ref="W13:W46" si="13">(Q13*$A13*$B$3)-(($B$4*$A13)+(Q13*$B$5*$A13))</f>
        <v>15.378436029136722</v>
      </c>
      <c r="X13" s="27">
        <f t="shared" ref="X13:X46" si="14">(R13*$A13*$B$3)-(($B$4*$A13)+(R13*$B$5*$A13))</f>
        <v>17.973817812660275</v>
      </c>
      <c r="Y13" s="27">
        <f t="shared" ref="Y13:Y46" si="15">(S13*$A13*$B$3)-(($B$4*$A13)+(S13*$B$5*$A13))</f>
        <v>21.282560190822846</v>
      </c>
      <c r="Z13" s="28">
        <f t="shared" ref="Z13:Z46" si="16">(T13*$A13*$B$3)-(($B$4*$A13)+(T13*$B$5*$A13))</f>
        <v>24.285937749800535</v>
      </c>
    </row>
    <row r="14" spans="1:26" x14ac:dyDescent="0.35">
      <c r="A14" s="21">
        <v>1</v>
      </c>
      <c r="B14" s="22">
        <v>4</v>
      </c>
      <c r="C14" s="62">
        <v>0.97</v>
      </c>
      <c r="D14" s="39">
        <v>0.95476509350287908</v>
      </c>
      <c r="E14" s="40">
        <v>0.96815141072780053</v>
      </c>
      <c r="F14" s="40">
        <v>0.89637787751428399</v>
      </c>
      <c r="G14" s="40">
        <v>0.89744213886999868</v>
      </c>
      <c r="H14" s="41">
        <v>0.88935811381609364</v>
      </c>
      <c r="I14" s="40"/>
      <c r="J14" s="23">
        <v>0.30199999999999999</v>
      </c>
      <c r="K14" s="24">
        <v>0.42899999999999999</v>
      </c>
      <c r="L14" s="24">
        <v>0.45100000000000001</v>
      </c>
      <c r="M14" s="24">
        <v>0.497</v>
      </c>
      <c r="N14" s="25">
        <v>0.56999999999999995</v>
      </c>
      <c r="O14" s="35">
        <f t="shared" si="0"/>
        <v>0.97</v>
      </c>
      <c r="P14" s="26">
        <f t="shared" si="0"/>
        <v>1.4321476402543185</v>
      </c>
      <c r="Q14" s="27">
        <f t="shared" si="1"/>
        <v>1.9363028214556011</v>
      </c>
      <c r="R14" s="27">
        <f t="shared" si="2"/>
        <v>2.24094469378571</v>
      </c>
      <c r="S14" s="27">
        <f t="shared" si="3"/>
        <v>2.6923264166099958</v>
      </c>
      <c r="T14" s="28">
        <f t="shared" si="4"/>
        <v>3.1127533983563276</v>
      </c>
      <c r="U14" s="35">
        <f t="shared" si="9"/>
        <v>8.4874999999999989</v>
      </c>
      <c r="V14" s="26">
        <f t="shared" si="12"/>
        <v>12.531291852225285</v>
      </c>
      <c r="W14" s="27">
        <f t="shared" si="13"/>
        <v>16.942649687736509</v>
      </c>
      <c r="X14" s="27">
        <f t="shared" si="14"/>
        <v>19.608266070624961</v>
      </c>
      <c r="Y14" s="27">
        <f t="shared" si="15"/>
        <v>23.557856145337464</v>
      </c>
      <c r="Z14" s="28">
        <f t="shared" si="16"/>
        <v>27.236592235617863</v>
      </c>
    </row>
    <row r="15" spans="1:26" x14ac:dyDescent="0.35">
      <c r="A15" s="21">
        <v>1</v>
      </c>
      <c r="B15" s="22">
        <v>5</v>
      </c>
      <c r="C15" s="62">
        <v>1</v>
      </c>
      <c r="D15" s="39">
        <v>1.0191886592990618</v>
      </c>
      <c r="E15" s="40">
        <v>1.0293191403256818</v>
      </c>
      <c r="F15" s="40">
        <v>0.9405524809784831</v>
      </c>
      <c r="G15" s="40">
        <v>0.94364144181730369</v>
      </c>
      <c r="H15" s="41">
        <v>0.950781874382851</v>
      </c>
      <c r="I15" s="40"/>
      <c r="J15" s="23">
        <v>0.26700000000000002</v>
      </c>
      <c r="K15" s="24">
        <v>0.35899999999999999</v>
      </c>
      <c r="L15" s="24">
        <v>0.373</v>
      </c>
      <c r="M15" s="24">
        <v>0.433</v>
      </c>
      <c r="N15" s="25">
        <v>0.441</v>
      </c>
      <c r="O15" s="35">
        <f t="shared" si="0"/>
        <v>1</v>
      </c>
      <c r="P15" s="26">
        <f t="shared" si="0"/>
        <v>1.5287829889485927</v>
      </c>
      <c r="Q15" s="27">
        <f t="shared" si="1"/>
        <v>2.0586382806513637</v>
      </c>
      <c r="R15" s="27">
        <f t="shared" si="2"/>
        <v>2.3513812024462077</v>
      </c>
      <c r="S15" s="27">
        <f t="shared" si="3"/>
        <v>2.8309243254519112</v>
      </c>
      <c r="T15" s="28">
        <f t="shared" si="4"/>
        <v>3.3277365603399787</v>
      </c>
      <c r="U15" s="35">
        <f t="shared" si="9"/>
        <v>8.75</v>
      </c>
      <c r="V15" s="26">
        <f t="shared" si="12"/>
        <v>13.376851153300187</v>
      </c>
      <c r="W15" s="27">
        <f t="shared" si="13"/>
        <v>18.013084955699433</v>
      </c>
      <c r="X15" s="27">
        <f t="shared" si="14"/>
        <v>20.574585521404316</v>
      </c>
      <c r="Y15" s="27">
        <f t="shared" si="15"/>
        <v>24.770587847704221</v>
      </c>
      <c r="Z15" s="28">
        <f t="shared" si="16"/>
        <v>29.117694902974812</v>
      </c>
    </row>
    <row r="16" spans="1:26" x14ac:dyDescent="0.35">
      <c r="A16" s="21">
        <v>1</v>
      </c>
      <c r="B16" s="22">
        <v>6</v>
      </c>
      <c r="C16" s="62">
        <v>1</v>
      </c>
      <c r="D16" s="39">
        <v>1.042265972583996</v>
      </c>
      <c r="E16" s="40">
        <v>1.0738798662564437</v>
      </c>
      <c r="F16" s="40">
        <v>0.97466353578970122</v>
      </c>
      <c r="G16" s="40">
        <v>0.98241783902206059</v>
      </c>
      <c r="H16" s="41">
        <v>0.98083345697842184</v>
      </c>
      <c r="I16" s="40"/>
      <c r="J16" s="23">
        <v>0.22700000000000001</v>
      </c>
      <c r="K16" s="24">
        <v>0.309</v>
      </c>
      <c r="L16" s="24">
        <v>0.28899999999999998</v>
      </c>
      <c r="M16" s="24">
        <v>0.34300000000000003</v>
      </c>
      <c r="N16" s="25">
        <v>0.42399999999999999</v>
      </c>
      <c r="O16" s="35">
        <f t="shared" si="0"/>
        <v>1</v>
      </c>
      <c r="P16" s="26">
        <f t="shared" si="0"/>
        <v>1.563398958875994</v>
      </c>
      <c r="Q16" s="27">
        <f t="shared" si="1"/>
        <v>2.1477597325128874</v>
      </c>
      <c r="R16" s="27">
        <f t="shared" si="2"/>
        <v>2.4366588394742532</v>
      </c>
      <c r="S16" s="27">
        <f t="shared" si="3"/>
        <v>2.9472535170661818</v>
      </c>
      <c r="T16" s="28">
        <f t="shared" si="4"/>
        <v>3.4329170994244764</v>
      </c>
      <c r="U16" s="35">
        <f t="shared" si="9"/>
        <v>8.75</v>
      </c>
      <c r="V16" s="26">
        <f t="shared" si="12"/>
        <v>13.679740890164949</v>
      </c>
      <c r="W16" s="27">
        <f t="shared" si="13"/>
        <v>18.792897659487764</v>
      </c>
      <c r="X16" s="27">
        <f t="shared" si="14"/>
        <v>21.320764845399719</v>
      </c>
      <c r="Y16" s="27">
        <f t="shared" si="15"/>
        <v>25.788468274329087</v>
      </c>
      <c r="Z16" s="28">
        <f t="shared" si="16"/>
        <v>30.038024619964169</v>
      </c>
    </row>
    <row r="17" spans="1:26" x14ac:dyDescent="0.35">
      <c r="A17" s="21">
        <v>1</v>
      </c>
      <c r="B17" s="22">
        <v>7</v>
      </c>
      <c r="C17" s="62">
        <v>1</v>
      </c>
      <c r="D17" s="39">
        <v>1.0709096812452772</v>
      </c>
      <c r="E17" s="40">
        <v>1.1056015410462885</v>
      </c>
      <c r="F17" s="40">
        <v>0.98900250959267078</v>
      </c>
      <c r="G17" s="40">
        <v>0.99485041867505042</v>
      </c>
      <c r="H17" s="41">
        <v>0.99923884758004167</v>
      </c>
      <c r="I17" s="40"/>
      <c r="J17" s="23">
        <v>0.20799999999999999</v>
      </c>
      <c r="K17" s="24">
        <v>0.28000000000000003</v>
      </c>
      <c r="L17" s="24">
        <v>0.27200000000000002</v>
      </c>
      <c r="M17" s="24">
        <v>0.32700000000000001</v>
      </c>
      <c r="N17" s="25">
        <v>0.35799999999999998</v>
      </c>
      <c r="O17" s="35">
        <f t="shared" si="0"/>
        <v>1</v>
      </c>
      <c r="P17" s="26">
        <f t="shared" si="0"/>
        <v>1.6063645218679157</v>
      </c>
      <c r="Q17" s="27">
        <f t="shared" si="1"/>
        <v>2.211203082092577</v>
      </c>
      <c r="R17" s="27">
        <f t="shared" si="2"/>
        <v>2.472506273981677</v>
      </c>
      <c r="S17" s="27">
        <f t="shared" si="3"/>
        <v>2.984551256025151</v>
      </c>
      <c r="T17" s="28">
        <f t="shared" si="4"/>
        <v>3.4973359665301458</v>
      </c>
      <c r="U17" s="35">
        <f t="shared" si="9"/>
        <v>8.75</v>
      </c>
      <c r="V17" s="26">
        <f t="shared" si="12"/>
        <v>14.05568956634426</v>
      </c>
      <c r="W17" s="27">
        <f t="shared" si="13"/>
        <v>19.348026968310048</v>
      </c>
      <c r="X17" s="27">
        <f t="shared" si="14"/>
        <v>21.634429897339672</v>
      </c>
      <c r="Y17" s="27">
        <f t="shared" si="15"/>
        <v>26.114823490220072</v>
      </c>
      <c r="Z17" s="28">
        <f t="shared" si="16"/>
        <v>30.601689707138775</v>
      </c>
    </row>
    <row r="18" spans="1:26" x14ac:dyDescent="0.35">
      <c r="A18" s="21">
        <v>1</v>
      </c>
      <c r="B18" s="22">
        <v>8</v>
      </c>
      <c r="C18" s="62">
        <v>1</v>
      </c>
      <c r="D18" s="39">
        <v>1.0896313942751799</v>
      </c>
      <c r="E18" s="40">
        <v>1.1249918133617931</v>
      </c>
      <c r="F18" s="40">
        <v>1.0045531754637609</v>
      </c>
      <c r="G18" s="40">
        <v>1.0128179500587478</v>
      </c>
      <c r="H18" s="41">
        <v>1.0195638619380094</v>
      </c>
      <c r="I18" s="40"/>
      <c r="J18" s="23">
        <v>0.20300000000000001</v>
      </c>
      <c r="K18" s="24">
        <v>0.23699999999999999</v>
      </c>
      <c r="L18" s="24">
        <v>0.24199999999999999</v>
      </c>
      <c r="M18" s="24">
        <v>0.25800000000000001</v>
      </c>
      <c r="N18" s="25">
        <v>0.312</v>
      </c>
      <c r="O18" s="35">
        <f t="shared" si="0"/>
        <v>1</v>
      </c>
      <c r="P18" s="26">
        <f t="shared" si="0"/>
        <v>1.6344470914127698</v>
      </c>
      <c r="Q18" s="27">
        <f t="shared" si="1"/>
        <v>2.2499836267235862</v>
      </c>
      <c r="R18" s="27">
        <f t="shared" si="2"/>
        <v>2.511382938659402</v>
      </c>
      <c r="S18" s="27">
        <f t="shared" si="3"/>
        <v>3.0384538501762433</v>
      </c>
      <c r="T18" s="28">
        <f t="shared" si="4"/>
        <v>3.5684735167830328</v>
      </c>
      <c r="U18" s="35">
        <f t="shared" si="9"/>
        <v>8.75</v>
      </c>
      <c r="V18" s="26">
        <f t="shared" si="12"/>
        <v>14.301412049861735</v>
      </c>
      <c r="W18" s="27">
        <f t="shared" si="13"/>
        <v>19.687356733831379</v>
      </c>
      <c r="X18" s="27">
        <f t="shared" si="14"/>
        <v>21.974600713269766</v>
      </c>
      <c r="Y18" s="27">
        <f t="shared" si="15"/>
        <v>26.586471189042125</v>
      </c>
      <c r="Z18" s="28">
        <f t="shared" si="16"/>
        <v>31.224143271851535</v>
      </c>
    </row>
    <row r="19" spans="1:26" x14ac:dyDescent="0.35">
      <c r="A19" s="21">
        <v>1</v>
      </c>
      <c r="B19" s="22">
        <v>9</v>
      </c>
      <c r="C19" s="62">
        <v>1</v>
      </c>
      <c r="D19" s="39">
        <v>1.1126814271681054</v>
      </c>
      <c r="E19" s="40">
        <v>1.139637303859522</v>
      </c>
      <c r="F19" s="40">
        <v>1.003537424149779</v>
      </c>
      <c r="G19" s="40">
        <v>1.0181296459168454</v>
      </c>
      <c r="H19" s="41">
        <v>1.0316940010076001</v>
      </c>
      <c r="I19" s="40"/>
      <c r="J19" s="23">
        <v>0.184</v>
      </c>
      <c r="K19" s="24">
        <v>0.19800000000000001</v>
      </c>
      <c r="L19" s="24">
        <v>0.20599999999999999</v>
      </c>
      <c r="M19" s="24">
        <v>0.26200000000000001</v>
      </c>
      <c r="N19" s="25">
        <v>0.28399999999999997</v>
      </c>
      <c r="O19" s="35">
        <f t="shared" si="0"/>
        <v>1</v>
      </c>
      <c r="P19" s="26">
        <f t="shared" si="0"/>
        <v>1.6690221407521579</v>
      </c>
      <c r="Q19" s="27">
        <f t="shared" si="1"/>
        <v>2.279274607719044</v>
      </c>
      <c r="R19" s="27">
        <f t="shared" si="2"/>
        <v>2.5088435603744474</v>
      </c>
      <c r="S19" s="27">
        <f t="shared" si="3"/>
        <v>3.0543889377505362</v>
      </c>
      <c r="T19" s="28">
        <f t="shared" si="4"/>
        <v>3.6109290035266004</v>
      </c>
      <c r="U19" s="35">
        <f t="shared" si="9"/>
        <v>8.75</v>
      </c>
      <c r="V19" s="26">
        <f t="shared" si="12"/>
        <v>14.603943731581381</v>
      </c>
      <c r="W19" s="27">
        <f t="shared" si="13"/>
        <v>19.943652817541636</v>
      </c>
      <c r="X19" s="27">
        <f t="shared" si="14"/>
        <v>21.952381153276416</v>
      </c>
      <c r="Y19" s="27">
        <f t="shared" si="15"/>
        <v>26.725903205317191</v>
      </c>
      <c r="Z19" s="28">
        <f t="shared" si="16"/>
        <v>31.595628780857755</v>
      </c>
    </row>
    <row r="20" spans="1:26" x14ac:dyDescent="0.35">
      <c r="A20" s="21">
        <v>1</v>
      </c>
      <c r="B20" s="22">
        <v>10</v>
      </c>
      <c r="C20" s="62">
        <v>1</v>
      </c>
      <c r="D20" s="39">
        <v>1.1130151529627481</v>
      </c>
      <c r="E20" s="40">
        <v>1.1477608770409322</v>
      </c>
      <c r="F20" s="40">
        <v>1.0165203083724059</v>
      </c>
      <c r="G20" s="40">
        <v>1.0278827466718994</v>
      </c>
      <c r="H20" s="41">
        <v>1.0372934489967944</v>
      </c>
      <c r="I20" s="40"/>
      <c r="J20" s="23">
        <v>0.16400000000000001</v>
      </c>
      <c r="K20" s="24">
        <v>0.219</v>
      </c>
      <c r="L20" s="24">
        <v>0.188</v>
      </c>
      <c r="M20" s="24">
        <v>0.23400000000000001</v>
      </c>
      <c r="N20" s="25">
        <v>0.251</v>
      </c>
      <c r="O20" s="35">
        <f t="shared" si="0"/>
        <v>1</v>
      </c>
      <c r="P20" s="26">
        <f t="shared" si="0"/>
        <v>1.6695227294441222</v>
      </c>
      <c r="Q20" s="27">
        <f t="shared" si="1"/>
        <v>2.2955217540818644</v>
      </c>
      <c r="R20" s="27">
        <f t="shared" si="2"/>
        <v>2.5413007709310147</v>
      </c>
      <c r="S20" s="27">
        <f t="shared" si="3"/>
        <v>3.0836482400156981</v>
      </c>
      <c r="T20" s="28">
        <f t="shared" si="4"/>
        <v>3.6305270714887805</v>
      </c>
      <c r="U20" s="35">
        <f t="shared" si="9"/>
        <v>8.75</v>
      </c>
      <c r="V20" s="26">
        <f t="shared" si="12"/>
        <v>14.608323882636068</v>
      </c>
      <c r="W20" s="27">
        <f t="shared" si="13"/>
        <v>20.085815348216315</v>
      </c>
      <c r="X20" s="27">
        <f t="shared" si="14"/>
        <v>22.23638174564638</v>
      </c>
      <c r="Y20" s="27">
        <f t="shared" si="15"/>
        <v>26.981922100137361</v>
      </c>
      <c r="Z20" s="28">
        <f t="shared" si="16"/>
        <v>31.76711187552683</v>
      </c>
    </row>
    <row r="21" spans="1:26" x14ac:dyDescent="0.35">
      <c r="A21" s="21">
        <v>1</v>
      </c>
      <c r="B21" s="22">
        <v>11</v>
      </c>
      <c r="C21" s="62">
        <v>1</v>
      </c>
      <c r="D21" s="39">
        <v>1.1149767853288985</v>
      </c>
      <c r="E21" s="40">
        <v>1.1677247134962363</v>
      </c>
      <c r="F21" s="40">
        <v>1.0146421436632205</v>
      </c>
      <c r="G21" s="40">
        <v>1.0388546254489222</v>
      </c>
      <c r="H21" s="41">
        <v>1.0498496506114359</v>
      </c>
      <c r="I21" s="40"/>
      <c r="J21" s="23">
        <v>0.15</v>
      </c>
      <c r="K21" s="24">
        <v>0.2</v>
      </c>
      <c r="L21" s="24">
        <v>0.17</v>
      </c>
      <c r="M21" s="24">
        <v>0.182</v>
      </c>
      <c r="N21" s="25">
        <v>0.20599999999999999</v>
      </c>
      <c r="O21" s="35">
        <f t="shared" si="0"/>
        <v>1</v>
      </c>
      <c r="P21" s="26">
        <f t="shared" si="0"/>
        <v>1.6724651779933479</v>
      </c>
      <c r="Q21" s="27">
        <f t="shared" si="1"/>
        <v>2.3354494269924726</v>
      </c>
      <c r="R21" s="27">
        <f t="shared" si="2"/>
        <v>2.5366053591580511</v>
      </c>
      <c r="S21" s="27">
        <f t="shared" si="3"/>
        <v>3.1165638763467665</v>
      </c>
      <c r="T21" s="28">
        <f t="shared" si="4"/>
        <v>3.6744737771400255</v>
      </c>
      <c r="U21" s="35">
        <f t="shared" si="9"/>
        <v>8.75</v>
      </c>
      <c r="V21" s="26">
        <f t="shared" si="12"/>
        <v>14.634070307441794</v>
      </c>
      <c r="W21" s="27">
        <f t="shared" si="13"/>
        <v>20.435182486184136</v>
      </c>
      <c r="X21" s="27">
        <f t="shared" si="14"/>
        <v>22.195296892632946</v>
      </c>
      <c r="Y21" s="27">
        <f t="shared" si="15"/>
        <v>27.269933918034209</v>
      </c>
      <c r="Z21" s="28">
        <f t="shared" si="16"/>
        <v>32.151645549975228</v>
      </c>
    </row>
    <row r="22" spans="1:26" x14ac:dyDescent="0.35">
      <c r="A22" s="18">
        <v>1</v>
      </c>
      <c r="B22" s="20">
        <v>12</v>
      </c>
      <c r="C22" s="62">
        <v>1</v>
      </c>
      <c r="D22" s="42">
        <v>1.1178296480160848</v>
      </c>
      <c r="E22" s="43">
        <v>1.1747116974827916</v>
      </c>
      <c r="F22" s="43">
        <v>1.0205344248350048</v>
      </c>
      <c r="G22" s="43">
        <v>1.0470901870517477</v>
      </c>
      <c r="H22" s="44">
        <v>1.0533686165455163</v>
      </c>
      <c r="I22" s="43"/>
      <c r="J22" s="29">
        <v>0.14199999999999999</v>
      </c>
      <c r="K22" s="30">
        <v>0.161</v>
      </c>
      <c r="L22" s="30">
        <v>0.155</v>
      </c>
      <c r="M22" s="30">
        <v>0.18099999999999999</v>
      </c>
      <c r="N22" s="31">
        <v>0.217</v>
      </c>
      <c r="O22" s="35">
        <f t="shared" si="0"/>
        <v>1</v>
      </c>
      <c r="P22" s="32">
        <f t="shared" si="0"/>
        <v>1.6767444720241271</v>
      </c>
      <c r="Q22" s="33">
        <f t="shared" si="1"/>
        <v>2.3494233949655832</v>
      </c>
      <c r="R22" s="33">
        <f t="shared" si="2"/>
        <v>2.5513360620875121</v>
      </c>
      <c r="S22" s="33">
        <f t="shared" si="3"/>
        <v>3.1412705611552432</v>
      </c>
      <c r="T22" s="34">
        <f t="shared" si="4"/>
        <v>3.6867901579093072</v>
      </c>
      <c r="U22" s="35">
        <f t="shared" si="9"/>
        <v>8.75</v>
      </c>
      <c r="V22" s="32">
        <f t="shared" si="12"/>
        <v>14.671514130211115</v>
      </c>
      <c r="W22" s="33">
        <f t="shared" si="13"/>
        <v>20.557454705948853</v>
      </c>
      <c r="X22" s="33">
        <f t="shared" si="14"/>
        <v>22.324190543265729</v>
      </c>
      <c r="Y22" s="33">
        <f t="shared" si="15"/>
        <v>27.486117410108378</v>
      </c>
      <c r="Z22" s="34">
        <f t="shared" si="16"/>
        <v>32.259413881706436</v>
      </c>
    </row>
    <row r="23" spans="1:26" x14ac:dyDescent="0.35">
      <c r="A23" s="21">
        <v>2</v>
      </c>
      <c r="B23" s="22">
        <v>0</v>
      </c>
      <c r="C23" s="62">
        <v>0</v>
      </c>
      <c r="D23" s="52">
        <v>0</v>
      </c>
      <c r="E23" s="53">
        <v>0</v>
      </c>
      <c r="F23" s="53">
        <v>0</v>
      </c>
      <c r="G23" s="53">
        <v>0</v>
      </c>
      <c r="H23" s="54">
        <v>0</v>
      </c>
      <c r="I23" s="53"/>
      <c r="J23" s="55">
        <v>0</v>
      </c>
      <c r="K23" s="56">
        <v>0</v>
      </c>
      <c r="L23" s="56">
        <v>0</v>
      </c>
      <c r="M23" s="56">
        <v>0</v>
      </c>
      <c r="N23" s="57">
        <v>0</v>
      </c>
      <c r="O23" s="35">
        <f t="shared" si="0"/>
        <v>0</v>
      </c>
      <c r="P23" s="35">
        <f t="shared" si="0"/>
        <v>0</v>
      </c>
      <c r="Q23" s="36">
        <f t="shared" si="1"/>
        <v>0</v>
      </c>
      <c r="R23" s="36">
        <f t="shared" si="2"/>
        <v>0</v>
      </c>
      <c r="S23" s="36">
        <f t="shared" si="3"/>
        <v>0</v>
      </c>
      <c r="T23" s="37">
        <f t="shared" si="4"/>
        <v>0</v>
      </c>
      <c r="U23" s="35">
        <f t="shared" si="9"/>
        <v>0</v>
      </c>
      <c r="V23" s="35">
        <f t="shared" ref="V23" si="17">(P23*$A23*$B$3)-(($B$4*$A23)+(P23*$B$5*$A23))</f>
        <v>0</v>
      </c>
      <c r="W23" s="36">
        <f t="shared" ref="W23" si="18">(Q23*$A23*$B$3)-(($B$4*$A23)+(Q23*$B$5*$A23))</f>
        <v>0</v>
      </c>
      <c r="X23" s="36">
        <f t="shared" ref="X23" si="19">(R23*$A23*$B$3)-(($B$4*$A23)+(R23*$B$5*$A23))</f>
        <v>0</v>
      </c>
      <c r="Y23" s="36">
        <f t="shared" ref="Y23" si="20">(S23*$A23*$B$3)-(($B$4*$A23)+(S23*$B$5*$A23))</f>
        <v>0</v>
      </c>
      <c r="Z23" s="37">
        <f t="shared" ref="Z23" si="21">(T23*$A23*$B$3)-(($B$4*$A23)+(T23*$B$5*$A23))</f>
        <v>0</v>
      </c>
    </row>
    <row r="24" spans="1:26" x14ac:dyDescent="0.35">
      <c r="A24" s="21">
        <v>2</v>
      </c>
      <c r="B24" s="22">
        <v>1</v>
      </c>
      <c r="C24" s="62">
        <v>0.4</v>
      </c>
      <c r="D24" s="39">
        <v>0.34637107069801626</v>
      </c>
      <c r="E24" s="40">
        <v>0.29591672471121572</v>
      </c>
      <c r="F24" s="40">
        <v>0.25902105735820818</v>
      </c>
      <c r="G24" s="40">
        <v>0.22589891914776733</v>
      </c>
      <c r="H24" s="41">
        <v>0.20582015877007317</v>
      </c>
      <c r="I24" s="40"/>
      <c r="J24" s="23">
        <v>0.83</v>
      </c>
      <c r="K24" s="24">
        <v>0.93799999999999994</v>
      </c>
      <c r="L24" s="24">
        <v>0.97199999999999998</v>
      </c>
      <c r="M24" s="24">
        <v>0.99099999999999999</v>
      </c>
      <c r="N24" s="25">
        <v>0.99399999999999999</v>
      </c>
      <c r="O24" s="35">
        <f t="shared" si="0"/>
        <v>0.4</v>
      </c>
      <c r="P24" s="26">
        <f t="shared" si="0"/>
        <v>0.5</v>
      </c>
      <c r="Q24" s="27">
        <f t="shared" si="1"/>
        <v>0.5</v>
      </c>
      <c r="R24" s="27">
        <f t="shared" si="2"/>
        <v>0.5</v>
      </c>
      <c r="S24" s="27">
        <f t="shared" si="3"/>
        <v>0.5</v>
      </c>
      <c r="T24" s="28">
        <f t="shared" si="4"/>
        <v>0.5</v>
      </c>
      <c r="U24" s="35">
        <f t="shared" si="9"/>
        <v>7</v>
      </c>
      <c r="V24" s="26">
        <f>(P24*$A24*$B$3)-(($B$4*$A24)+(P24*$B$5*$A24))</f>
        <v>8.75</v>
      </c>
      <c r="W24" s="27">
        <f t="shared" si="13"/>
        <v>8.75</v>
      </c>
      <c r="X24" s="27">
        <f t="shared" si="14"/>
        <v>8.75</v>
      </c>
      <c r="Y24" s="27">
        <f t="shared" si="15"/>
        <v>8.75</v>
      </c>
      <c r="Z24" s="28">
        <f t="shared" si="16"/>
        <v>8.75</v>
      </c>
    </row>
    <row r="25" spans="1:26" x14ac:dyDescent="0.35">
      <c r="A25" s="21">
        <v>2</v>
      </c>
      <c r="B25" s="22">
        <v>2</v>
      </c>
      <c r="C25" s="62">
        <v>0.65</v>
      </c>
      <c r="D25" s="39">
        <v>0.589264461558759</v>
      </c>
      <c r="E25" s="40">
        <v>0.53499459027304996</v>
      </c>
      <c r="F25" s="40">
        <v>0.48232267607281276</v>
      </c>
      <c r="G25" s="40">
        <v>0.43492357173872132</v>
      </c>
      <c r="H25" s="41">
        <v>0.39840783878441183</v>
      </c>
      <c r="I25" s="40"/>
      <c r="J25" s="23">
        <v>0.71699999999999997</v>
      </c>
      <c r="K25" s="24">
        <v>0.85699999999999998</v>
      </c>
      <c r="L25" s="24">
        <v>0.92600000000000005</v>
      </c>
      <c r="M25" s="24">
        <v>0.96</v>
      </c>
      <c r="N25" s="25">
        <v>0.98199999999999998</v>
      </c>
      <c r="O25" s="35">
        <f t="shared" si="0"/>
        <v>0.65</v>
      </c>
      <c r="P25" s="26">
        <f>IF((D25*P$9*$A25)&gt;$B25,$B25/$A25,(D25*P$9))</f>
        <v>0.8838966923381385</v>
      </c>
      <c r="Q25" s="27">
        <f t="shared" si="1"/>
        <v>1</v>
      </c>
      <c r="R25" s="27">
        <f t="shared" si="2"/>
        <v>1</v>
      </c>
      <c r="S25" s="27">
        <f t="shared" si="3"/>
        <v>1</v>
      </c>
      <c r="T25" s="28">
        <f t="shared" si="4"/>
        <v>1</v>
      </c>
      <c r="U25" s="35">
        <f t="shared" si="9"/>
        <v>11.375</v>
      </c>
      <c r="V25" s="26">
        <f t="shared" si="12"/>
        <v>15.468192115917422</v>
      </c>
      <c r="W25" s="27">
        <f t="shared" si="13"/>
        <v>17.5</v>
      </c>
      <c r="X25" s="27">
        <f t="shared" si="14"/>
        <v>17.5</v>
      </c>
      <c r="Y25" s="27">
        <f t="shared" si="15"/>
        <v>17.5</v>
      </c>
      <c r="Z25" s="28">
        <f t="shared" si="16"/>
        <v>17.5</v>
      </c>
    </row>
    <row r="26" spans="1:26" x14ac:dyDescent="0.35">
      <c r="A26" s="21">
        <v>2</v>
      </c>
      <c r="B26" s="22">
        <v>3</v>
      </c>
      <c r="C26" s="62">
        <v>0.8</v>
      </c>
      <c r="D26" s="39">
        <v>0.75070675943304488</v>
      </c>
      <c r="E26" s="40">
        <v>0.70329673682765581</v>
      </c>
      <c r="F26" s="40">
        <v>0.65894221658066843</v>
      </c>
      <c r="G26" s="40">
        <v>0.6135665872988314</v>
      </c>
      <c r="H26" s="41">
        <v>0.57244751544539973</v>
      </c>
      <c r="I26" s="40"/>
      <c r="J26" s="23">
        <v>0.66300000000000003</v>
      </c>
      <c r="K26" s="24">
        <v>0.78900000000000003</v>
      </c>
      <c r="L26" s="24">
        <v>0.83599999999999997</v>
      </c>
      <c r="M26" s="24">
        <v>0.92800000000000005</v>
      </c>
      <c r="N26" s="25">
        <v>0.95399999999999996</v>
      </c>
      <c r="O26" s="35">
        <f t="shared" ref="O26:O87" si="22">IF((C26*O$9*$A26)&gt;$B26,$B26/$A26,(C26*O$9))</f>
        <v>0.8</v>
      </c>
      <c r="P26" s="26">
        <f t="shared" ref="P26:P87" si="23">IF((D26*P$9*$A26)&gt;$B26,$B26/$A26,(D26*P$9))</f>
        <v>1.1260601391495673</v>
      </c>
      <c r="Q26" s="27">
        <f t="shared" si="1"/>
        <v>1.4065934736553116</v>
      </c>
      <c r="R26" s="27">
        <f t="shared" si="2"/>
        <v>1.5</v>
      </c>
      <c r="S26" s="27">
        <f t="shared" si="3"/>
        <v>1.5</v>
      </c>
      <c r="T26" s="28">
        <f t="shared" si="4"/>
        <v>1.5</v>
      </c>
      <c r="U26" s="35">
        <f t="shared" si="9"/>
        <v>14</v>
      </c>
      <c r="V26" s="26">
        <f t="shared" si="12"/>
        <v>19.706052435117428</v>
      </c>
      <c r="W26" s="27">
        <f t="shared" si="13"/>
        <v>24.615385788967952</v>
      </c>
      <c r="X26" s="27">
        <f t="shared" si="14"/>
        <v>26.25</v>
      </c>
      <c r="Y26" s="27">
        <f t="shared" si="15"/>
        <v>26.25</v>
      </c>
      <c r="Z26" s="28">
        <f t="shared" si="16"/>
        <v>26.25</v>
      </c>
    </row>
    <row r="27" spans="1:26" x14ac:dyDescent="0.35">
      <c r="A27" s="21">
        <v>2</v>
      </c>
      <c r="B27" s="22">
        <v>4</v>
      </c>
      <c r="C27" s="62">
        <v>0.87</v>
      </c>
      <c r="D27" s="39">
        <v>0.85132585251197523</v>
      </c>
      <c r="E27" s="40">
        <v>0.82897190862380399</v>
      </c>
      <c r="F27" s="40">
        <v>0.79390120154468136</v>
      </c>
      <c r="G27" s="40">
        <v>0.75171593443941254</v>
      </c>
      <c r="H27" s="41">
        <v>0.70396852669769017</v>
      </c>
      <c r="I27" s="40"/>
      <c r="J27" s="23">
        <v>0.57299999999999995</v>
      </c>
      <c r="K27" s="24">
        <v>0.68799999999999994</v>
      </c>
      <c r="L27" s="24">
        <v>0.77200000000000002</v>
      </c>
      <c r="M27" s="24">
        <v>0.85699999999999998</v>
      </c>
      <c r="N27" s="25">
        <v>0.90300000000000002</v>
      </c>
      <c r="O27" s="35">
        <f t="shared" si="22"/>
        <v>0.87</v>
      </c>
      <c r="P27" s="26">
        <f t="shared" si="23"/>
        <v>1.2769887787679628</v>
      </c>
      <c r="Q27" s="27">
        <f t="shared" si="1"/>
        <v>1.657943817247608</v>
      </c>
      <c r="R27" s="27">
        <f t="shared" si="2"/>
        <v>1.9847530038617034</v>
      </c>
      <c r="S27" s="27">
        <f t="shared" si="3"/>
        <v>2</v>
      </c>
      <c r="T27" s="28">
        <f t="shared" si="4"/>
        <v>2</v>
      </c>
      <c r="U27" s="35">
        <f t="shared" si="9"/>
        <v>15.225</v>
      </c>
      <c r="V27" s="26">
        <f t="shared" si="12"/>
        <v>22.347303628439349</v>
      </c>
      <c r="W27" s="27">
        <f t="shared" si="13"/>
        <v>29.01401680183314</v>
      </c>
      <c r="X27" s="27">
        <f t="shared" si="14"/>
        <v>34.733177567579808</v>
      </c>
      <c r="Y27" s="27">
        <f t="shared" si="15"/>
        <v>35</v>
      </c>
      <c r="Z27" s="28">
        <f t="shared" si="16"/>
        <v>35</v>
      </c>
    </row>
    <row r="28" spans="1:26" x14ac:dyDescent="0.35">
      <c r="A28" s="21">
        <v>2</v>
      </c>
      <c r="B28" s="22">
        <v>5</v>
      </c>
      <c r="C28" s="62">
        <v>0.92</v>
      </c>
      <c r="D28" s="39">
        <v>0.91283092338381322</v>
      </c>
      <c r="E28" s="40">
        <v>0.90831941753199019</v>
      </c>
      <c r="F28" s="40">
        <v>0.88422658820949407</v>
      </c>
      <c r="G28" s="40">
        <v>0.84380840133362223</v>
      </c>
      <c r="H28" s="41">
        <v>0.81125026120856636</v>
      </c>
      <c r="I28" s="40"/>
      <c r="J28" s="23">
        <v>0.46800000000000003</v>
      </c>
      <c r="K28" s="24">
        <v>0.63600000000000001</v>
      </c>
      <c r="L28" s="24">
        <v>0.70199999999999996</v>
      </c>
      <c r="M28" s="24">
        <v>0.79700000000000004</v>
      </c>
      <c r="N28" s="25">
        <v>0.85299999999999998</v>
      </c>
      <c r="O28" s="35">
        <f t="shared" si="22"/>
        <v>0.92</v>
      </c>
      <c r="P28" s="26">
        <f t="shared" si="23"/>
        <v>1.3692463850757197</v>
      </c>
      <c r="Q28" s="27">
        <f t="shared" si="1"/>
        <v>1.8166388350639804</v>
      </c>
      <c r="R28" s="27">
        <f t="shared" si="2"/>
        <v>2.2105664705237351</v>
      </c>
      <c r="S28" s="27">
        <f t="shared" si="3"/>
        <v>2.5</v>
      </c>
      <c r="T28" s="28">
        <f t="shared" si="4"/>
        <v>2.5</v>
      </c>
      <c r="U28" s="35">
        <f t="shared" si="9"/>
        <v>16.100000000000001</v>
      </c>
      <c r="V28" s="26">
        <f t="shared" si="12"/>
        <v>23.961811738825091</v>
      </c>
      <c r="W28" s="27">
        <f t="shared" si="13"/>
        <v>31.791179613619654</v>
      </c>
      <c r="X28" s="27">
        <f t="shared" si="14"/>
        <v>38.684913234165364</v>
      </c>
      <c r="Y28" s="27">
        <f t="shared" si="15"/>
        <v>43.75</v>
      </c>
      <c r="Z28" s="28">
        <f t="shared" si="16"/>
        <v>43.75</v>
      </c>
    </row>
    <row r="29" spans="1:26" x14ac:dyDescent="0.35">
      <c r="A29" s="21">
        <v>2</v>
      </c>
      <c r="B29" s="22">
        <v>6</v>
      </c>
      <c r="C29" s="62">
        <v>0.98</v>
      </c>
      <c r="D29" s="39">
        <v>0.96426760899675346</v>
      </c>
      <c r="E29" s="40">
        <v>0.96879618687436064</v>
      </c>
      <c r="F29" s="40">
        <v>0.94338547815716778</v>
      </c>
      <c r="G29" s="40">
        <v>0.92316894344322153</v>
      </c>
      <c r="H29" s="41">
        <v>0.89211843496291121</v>
      </c>
      <c r="I29" s="40"/>
      <c r="J29" s="23">
        <v>0.41699999999999998</v>
      </c>
      <c r="K29" s="24">
        <v>0.55900000000000005</v>
      </c>
      <c r="L29" s="24">
        <v>0.64</v>
      </c>
      <c r="M29" s="24">
        <v>0.71399999999999997</v>
      </c>
      <c r="N29" s="25">
        <v>0.79200000000000004</v>
      </c>
      <c r="O29" s="35">
        <f t="shared" si="22"/>
        <v>0.98</v>
      </c>
      <c r="P29" s="26">
        <f t="shared" si="23"/>
        <v>1.4464014134951302</v>
      </c>
      <c r="Q29" s="27">
        <f t="shared" si="1"/>
        <v>1.9375923737487213</v>
      </c>
      <c r="R29" s="27">
        <f t="shared" si="2"/>
        <v>2.3584636953929197</v>
      </c>
      <c r="S29" s="27">
        <f t="shared" si="3"/>
        <v>2.7695068303296644</v>
      </c>
      <c r="T29" s="28">
        <f t="shared" si="4"/>
        <v>3</v>
      </c>
      <c r="U29" s="35">
        <f t="shared" si="9"/>
        <v>17.149999999999999</v>
      </c>
      <c r="V29" s="26">
        <f t="shared" si="12"/>
        <v>25.31202473616478</v>
      </c>
      <c r="W29" s="27">
        <f t="shared" si="13"/>
        <v>33.907866540602626</v>
      </c>
      <c r="X29" s="27">
        <f t="shared" si="14"/>
        <v>41.273114669376099</v>
      </c>
      <c r="Y29" s="27">
        <f t="shared" si="15"/>
        <v>48.466369530769128</v>
      </c>
      <c r="Z29" s="28">
        <f t="shared" si="16"/>
        <v>52.5</v>
      </c>
    </row>
    <row r="30" spans="1:26" x14ac:dyDescent="0.35">
      <c r="A30" s="21">
        <v>2</v>
      </c>
      <c r="B30" s="22">
        <v>7</v>
      </c>
      <c r="C30" s="62">
        <v>1</v>
      </c>
      <c r="D30" s="39">
        <v>0.99866338269444066</v>
      </c>
      <c r="E30" s="40">
        <v>1.0092351551766026</v>
      </c>
      <c r="F30" s="40">
        <v>0.98899166831285834</v>
      </c>
      <c r="G30" s="40">
        <v>0.97387412309490484</v>
      </c>
      <c r="H30" s="41">
        <v>0.95236981676491939</v>
      </c>
      <c r="I30" s="40"/>
      <c r="J30" s="23">
        <v>0.373</v>
      </c>
      <c r="K30" s="24">
        <v>0.49</v>
      </c>
      <c r="L30" s="24">
        <v>0.56799999999999995</v>
      </c>
      <c r="M30" s="24">
        <v>0.61699999999999999</v>
      </c>
      <c r="N30" s="25">
        <v>0.72</v>
      </c>
      <c r="O30" s="35">
        <f t="shared" si="22"/>
        <v>1</v>
      </c>
      <c r="P30" s="26">
        <f t="shared" si="23"/>
        <v>1.497995074041661</v>
      </c>
      <c r="Q30" s="27">
        <f t="shared" si="1"/>
        <v>2.0184703103532051</v>
      </c>
      <c r="R30" s="27">
        <f t="shared" si="2"/>
        <v>2.4724791707821456</v>
      </c>
      <c r="S30" s="27">
        <f t="shared" si="3"/>
        <v>2.9216223692847145</v>
      </c>
      <c r="T30" s="28">
        <f t="shared" si="4"/>
        <v>3.3332943586772177</v>
      </c>
      <c r="U30" s="35">
        <f t="shared" si="9"/>
        <v>17.5</v>
      </c>
      <c r="V30" s="26">
        <f t="shared" si="12"/>
        <v>26.214913795729071</v>
      </c>
      <c r="W30" s="27">
        <f t="shared" si="13"/>
        <v>35.323230431181088</v>
      </c>
      <c r="X30" s="27">
        <f t="shared" si="14"/>
        <v>43.268385488687549</v>
      </c>
      <c r="Y30" s="27">
        <f t="shared" si="15"/>
        <v>51.128391462482497</v>
      </c>
      <c r="Z30" s="28">
        <f t="shared" si="16"/>
        <v>58.332651276851315</v>
      </c>
    </row>
    <row r="31" spans="1:26" x14ac:dyDescent="0.35">
      <c r="A31" s="21">
        <v>2</v>
      </c>
      <c r="B31" s="22">
        <v>8</v>
      </c>
      <c r="C31" s="62">
        <v>1</v>
      </c>
      <c r="D31" s="39">
        <v>1.0172470807374265</v>
      </c>
      <c r="E31" s="40">
        <v>1.035801525412404</v>
      </c>
      <c r="F31" s="40">
        <v>1.0146247300413094</v>
      </c>
      <c r="G31" s="40">
        <v>1.0077239215043114</v>
      </c>
      <c r="H31" s="41">
        <v>0.99134888795824028</v>
      </c>
      <c r="I31" s="40"/>
      <c r="J31" s="23">
        <v>0.34300000000000003</v>
      </c>
      <c r="K31" s="24">
        <v>0.47</v>
      </c>
      <c r="L31" s="24">
        <v>0.52</v>
      </c>
      <c r="M31" s="24">
        <v>0.59699999999999998</v>
      </c>
      <c r="N31" s="25">
        <v>0.67600000000000005</v>
      </c>
      <c r="O31" s="35">
        <f t="shared" si="22"/>
        <v>1</v>
      </c>
      <c r="P31" s="26">
        <f t="shared" si="23"/>
        <v>1.5258706211061397</v>
      </c>
      <c r="Q31" s="27">
        <f t="shared" si="1"/>
        <v>2.071603050824808</v>
      </c>
      <c r="R31" s="27">
        <f t="shared" si="2"/>
        <v>2.5365618251032735</v>
      </c>
      <c r="S31" s="27">
        <f t="shared" si="3"/>
        <v>3.0231717645129343</v>
      </c>
      <c r="T31" s="28">
        <f t="shared" si="4"/>
        <v>3.4697211078538408</v>
      </c>
      <c r="U31" s="35">
        <f t="shared" si="9"/>
        <v>17.5</v>
      </c>
      <c r="V31" s="26">
        <f t="shared" si="12"/>
        <v>26.702735869357447</v>
      </c>
      <c r="W31" s="27">
        <f t="shared" si="13"/>
        <v>36.253053389434143</v>
      </c>
      <c r="X31" s="27">
        <f t="shared" si="14"/>
        <v>44.389831939307285</v>
      </c>
      <c r="Y31" s="27">
        <f t="shared" si="15"/>
        <v>52.905505878976356</v>
      </c>
      <c r="Z31" s="28">
        <f t="shared" si="16"/>
        <v>60.72011938744221</v>
      </c>
    </row>
    <row r="32" spans="1:26" x14ac:dyDescent="0.35">
      <c r="A32" s="21">
        <v>2</v>
      </c>
      <c r="B32" s="22">
        <v>9</v>
      </c>
      <c r="C32" s="62">
        <v>1</v>
      </c>
      <c r="D32" s="39">
        <v>1.0330615712079787</v>
      </c>
      <c r="E32" s="40">
        <v>1.0613288690702913</v>
      </c>
      <c r="F32" s="40">
        <v>1.0448250405012547</v>
      </c>
      <c r="G32" s="40">
        <v>1.0374986875355499</v>
      </c>
      <c r="H32" s="41">
        <v>1.0247291556073808</v>
      </c>
      <c r="I32" s="40"/>
      <c r="J32" s="23">
        <v>0.32700000000000001</v>
      </c>
      <c r="K32" s="24">
        <v>0.438</v>
      </c>
      <c r="L32" s="24">
        <v>0.46500000000000002</v>
      </c>
      <c r="M32" s="24">
        <v>0.52500000000000002</v>
      </c>
      <c r="N32" s="25">
        <v>0.60199999999999998</v>
      </c>
      <c r="O32" s="35">
        <f t="shared" si="22"/>
        <v>1</v>
      </c>
      <c r="P32" s="26">
        <f t="shared" si="23"/>
        <v>1.5495923568119681</v>
      </c>
      <c r="Q32" s="27">
        <f t="shared" si="1"/>
        <v>2.1226577381405827</v>
      </c>
      <c r="R32" s="27">
        <f t="shared" si="2"/>
        <v>2.6120626012531369</v>
      </c>
      <c r="S32" s="27">
        <f t="shared" si="3"/>
        <v>3.1124960626066498</v>
      </c>
      <c r="T32" s="28">
        <f t="shared" si="4"/>
        <v>3.5865520446258325</v>
      </c>
      <c r="U32" s="35">
        <f t="shared" si="9"/>
        <v>17.5</v>
      </c>
      <c r="V32" s="26">
        <f t="shared" si="12"/>
        <v>27.117866244209441</v>
      </c>
      <c r="W32" s="27">
        <f t="shared" si="13"/>
        <v>37.146510417460192</v>
      </c>
      <c r="X32" s="27">
        <f t="shared" si="14"/>
        <v>45.711095521929892</v>
      </c>
      <c r="Y32" s="27">
        <f t="shared" si="15"/>
        <v>54.468681095616361</v>
      </c>
      <c r="Z32" s="28">
        <f t="shared" si="16"/>
        <v>62.764660780952077</v>
      </c>
    </row>
    <row r="33" spans="1:26" x14ac:dyDescent="0.35">
      <c r="A33" s="21">
        <v>2</v>
      </c>
      <c r="B33" s="22">
        <v>10</v>
      </c>
      <c r="C33" s="62">
        <v>1</v>
      </c>
      <c r="D33" s="39">
        <v>1.0456084309291211</v>
      </c>
      <c r="E33" s="40">
        <v>1.0745199564859018</v>
      </c>
      <c r="F33" s="40">
        <v>1.0655709446872377</v>
      </c>
      <c r="G33" s="40">
        <v>1.0590398792374462</v>
      </c>
      <c r="H33" s="41">
        <v>1.046203010490683</v>
      </c>
      <c r="I33" s="40"/>
      <c r="J33" s="23">
        <v>0.32200000000000001</v>
      </c>
      <c r="K33" s="24">
        <v>0.41</v>
      </c>
      <c r="L33" s="24">
        <v>0.41299999999999998</v>
      </c>
      <c r="M33" s="24">
        <v>0.50600000000000001</v>
      </c>
      <c r="N33" s="25">
        <v>0.56899999999999995</v>
      </c>
      <c r="O33" s="35">
        <f t="shared" si="22"/>
        <v>1</v>
      </c>
      <c r="P33" s="26">
        <f t="shared" si="23"/>
        <v>1.5684126463936816</v>
      </c>
      <c r="Q33" s="27">
        <f t="shared" si="1"/>
        <v>2.1490399129718036</v>
      </c>
      <c r="R33" s="27">
        <f t="shared" si="2"/>
        <v>2.6639273617180943</v>
      </c>
      <c r="S33" s="27">
        <f t="shared" si="3"/>
        <v>3.1771196377123387</v>
      </c>
      <c r="T33" s="28">
        <f t="shared" si="4"/>
        <v>3.6617105367173903</v>
      </c>
      <c r="U33" s="35">
        <f t="shared" si="9"/>
        <v>17.5</v>
      </c>
      <c r="V33" s="26">
        <f t="shared" si="12"/>
        <v>27.447221311889429</v>
      </c>
      <c r="W33" s="27">
        <f t="shared" si="13"/>
        <v>37.60819847700656</v>
      </c>
      <c r="X33" s="27">
        <f t="shared" si="14"/>
        <v>46.618728830066651</v>
      </c>
      <c r="Y33" s="27">
        <f t="shared" si="15"/>
        <v>55.599593659965933</v>
      </c>
      <c r="Z33" s="28">
        <f t="shared" si="16"/>
        <v>64.079934392554321</v>
      </c>
    </row>
    <row r="34" spans="1:26" x14ac:dyDescent="0.35">
      <c r="A34" s="21">
        <v>2</v>
      </c>
      <c r="B34" s="22">
        <v>11</v>
      </c>
      <c r="C34" s="62">
        <v>1</v>
      </c>
      <c r="D34" s="39">
        <v>1.0513496768620394</v>
      </c>
      <c r="E34" s="40">
        <v>1.0925558707715672</v>
      </c>
      <c r="F34" s="40">
        <v>1.0755799087693312</v>
      </c>
      <c r="G34" s="40">
        <v>1.0791990124959041</v>
      </c>
      <c r="H34" s="41">
        <v>1.0656343551968201</v>
      </c>
      <c r="I34" s="40"/>
      <c r="J34" s="23">
        <v>0.26500000000000001</v>
      </c>
      <c r="K34" s="24">
        <v>0.376</v>
      </c>
      <c r="L34" s="24">
        <v>0.36899999999999999</v>
      </c>
      <c r="M34" s="24">
        <v>0.45500000000000002</v>
      </c>
      <c r="N34" s="25">
        <v>0.53500000000000003</v>
      </c>
      <c r="O34" s="35">
        <f t="shared" si="22"/>
        <v>1</v>
      </c>
      <c r="P34" s="26">
        <f t="shared" si="23"/>
        <v>1.5770245152930591</v>
      </c>
      <c r="Q34" s="27">
        <f t="shared" si="1"/>
        <v>2.1851117415431345</v>
      </c>
      <c r="R34" s="27">
        <f t="shared" si="2"/>
        <v>2.688949771923328</v>
      </c>
      <c r="S34" s="27">
        <f t="shared" si="3"/>
        <v>3.2375970374877125</v>
      </c>
      <c r="T34" s="28">
        <f t="shared" si="4"/>
        <v>3.7297202431888703</v>
      </c>
      <c r="U34" s="35">
        <f t="shared" si="9"/>
        <v>17.5</v>
      </c>
      <c r="V34" s="26">
        <f t="shared" si="12"/>
        <v>27.597929017628537</v>
      </c>
      <c r="W34" s="27">
        <f t="shared" si="13"/>
        <v>38.239455477004853</v>
      </c>
      <c r="X34" s="27">
        <f t="shared" si="14"/>
        <v>47.056621008658233</v>
      </c>
      <c r="Y34" s="27">
        <f t="shared" si="15"/>
        <v>56.657948156034976</v>
      </c>
      <c r="Z34" s="28">
        <f t="shared" si="16"/>
        <v>65.270104255805222</v>
      </c>
    </row>
    <row r="35" spans="1:26" x14ac:dyDescent="0.35">
      <c r="A35" s="18">
        <v>2</v>
      </c>
      <c r="B35" s="20">
        <v>12</v>
      </c>
      <c r="C35" s="62">
        <v>1</v>
      </c>
      <c r="D35" s="42">
        <v>1.0654783171474793</v>
      </c>
      <c r="E35" s="43">
        <v>1.0996948500137251</v>
      </c>
      <c r="F35" s="43">
        <v>1.0892200197600741</v>
      </c>
      <c r="G35" s="43">
        <v>1.0905623688370323</v>
      </c>
      <c r="H35" s="44">
        <v>1.0805615640705888</v>
      </c>
      <c r="I35" s="43"/>
      <c r="J35" s="29">
        <v>0.253</v>
      </c>
      <c r="K35" s="30">
        <v>0.29899999999999999</v>
      </c>
      <c r="L35" s="30">
        <v>0.38800000000000001</v>
      </c>
      <c r="M35" s="30">
        <v>0.42199999999999999</v>
      </c>
      <c r="N35" s="31">
        <v>0.48499999999999999</v>
      </c>
      <c r="O35" s="35">
        <f t="shared" si="22"/>
        <v>1</v>
      </c>
      <c r="P35" s="32">
        <f t="shared" si="23"/>
        <v>1.5982174757212189</v>
      </c>
      <c r="Q35" s="33">
        <f t="shared" si="1"/>
        <v>2.1993897000274503</v>
      </c>
      <c r="R35" s="33">
        <f t="shared" si="2"/>
        <v>2.723050049400185</v>
      </c>
      <c r="S35" s="33">
        <f t="shared" si="3"/>
        <v>3.2716871065110968</v>
      </c>
      <c r="T35" s="34">
        <f t="shared" si="4"/>
        <v>3.7819654742470608</v>
      </c>
      <c r="U35" s="35">
        <f t="shared" si="9"/>
        <v>17.5</v>
      </c>
      <c r="V35" s="32">
        <f t="shared" si="12"/>
        <v>27.968805825121329</v>
      </c>
      <c r="W35" s="33">
        <f t="shared" si="13"/>
        <v>38.489319750480377</v>
      </c>
      <c r="X35" s="33">
        <f t="shared" si="14"/>
        <v>47.653375864503246</v>
      </c>
      <c r="Y35" s="33">
        <f t="shared" si="15"/>
        <v>57.254524363944192</v>
      </c>
      <c r="Z35" s="34">
        <f t="shared" si="16"/>
        <v>66.184395799323568</v>
      </c>
    </row>
    <row r="36" spans="1:26" x14ac:dyDescent="0.35">
      <c r="A36" s="21">
        <v>3</v>
      </c>
      <c r="B36" s="22">
        <v>0</v>
      </c>
      <c r="C36" s="62">
        <v>0</v>
      </c>
      <c r="D36" s="52">
        <v>0</v>
      </c>
      <c r="E36" s="53">
        <v>0</v>
      </c>
      <c r="F36" s="53">
        <v>0</v>
      </c>
      <c r="G36" s="53">
        <v>0</v>
      </c>
      <c r="H36" s="54">
        <v>0</v>
      </c>
      <c r="I36" s="53"/>
      <c r="J36" s="55">
        <v>0</v>
      </c>
      <c r="K36" s="56">
        <v>0</v>
      </c>
      <c r="L36" s="56">
        <v>0</v>
      </c>
      <c r="M36" s="56">
        <v>0</v>
      </c>
      <c r="N36" s="57">
        <v>0</v>
      </c>
      <c r="O36" s="35">
        <f t="shared" si="22"/>
        <v>0</v>
      </c>
      <c r="P36" s="35">
        <f t="shared" si="23"/>
        <v>0</v>
      </c>
      <c r="Q36" s="36">
        <f t="shared" si="1"/>
        <v>0</v>
      </c>
      <c r="R36" s="36">
        <f t="shared" si="2"/>
        <v>0</v>
      </c>
      <c r="S36" s="36">
        <f t="shared" si="3"/>
        <v>0</v>
      </c>
      <c r="T36" s="37">
        <f t="shared" si="4"/>
        <v>0</v>
      </c>
      <c r="U36" s="35">
        <f t="shared" si="9"/>
        <v>0</v>
      </c>
      <c r="V36" s="35">
        <f t="shared" ref="V36" si="24">(P36*$A36*$B$3)-(($B$4*$A36)+(P36*$B$5*$A36))</f>
        <v>0</v>
      </c>
      <c r="W36" s="36">
        <f t="shared" ref="W36" si="25">(Q36*$A36*$B$3)-(($B$4*$A36)+(Q36*$B$5*$A36))</f>
        <v>0</v>
      </c>
      <c r="X36" s="36">
        <f t="shared" ref="X36" si="26">(R36*$A36*$B$3)-(($B$4*$A36)+(R36*$B$5*$A36))</f>
        <v>0</v>
      </c>
      <c r="Y36" s="36">
        <f t="shared" ref="Y36" si="27">(S36*$A36*$B$3)-(($B$4*$A36)+(S36*$B$5*$A36))</f>
        <v>0</v>
      </c>
      <c r="Z36" s="37">
        <f t="shared" ref="Z36" si="28">(T36*$A36*$B$3)-(($B$4*$A36)+(T36*$B$5*$A36))</f>
        <v>0</v>
      </c>
    </row>
    <row r="37" spans="1:26" x14ac:dyDescent="0.35">
      <c r="A37" s="21">
        <v>3</v>
      </c>
      <c r="B37" s="22">
        <v>1</v>
      </c>
      <c r="C37" s="62">
        <v>0.3</v>
      </c>
      <c r="D37" s="39">
        <v>0.24784781895949842</v>
      </c>
      <c r="E37" s="40">
        <v>0.20299265503183814</v>
      </c>
      <c r="F37" s="40">
        <v>0.17788270874501577</v>
      </c>
      <c r="G37" s="40">
        <v>0.15399594201924333</v>
      </c>
      <c r="H37" s="41">
        <v>0.13898917379133638</v>
      </c>
      <c r="I37" s="40"/>
      <c r="J37" s="23">
        <v>0.89500000000000002</v>
      </c>
      <c r="K37" s="24">
        <v>0.97299999999999998</v>
      </c>
      <c r="L37" s="24">
        <v>0.98799999999999999</v>
      </c>
      <c r="M37" s="24">
        <v>0.99</v>
      </c>
      <c r="N37" s="25">
        <v>0.998</v>
      </c>
      <c r="O37" s="35">
        <f t="shared" si="22"/>
        <v>0.3</v>
      </c>
      <c r="P37" s="26">
        <f t="shared" si="23"/>
        <v>0.33333333333333331</v>
      </c>
      <c r="Q37" s="27">
        <f t="shared" si="1"/>
        <v>0.33333333333333331</v>
      </c>
      <c r="R37" s="27">
        <f t="shared" si="2"/>
        <v>0.33333333333333331</v>
      </c>
      <c r="S37" s="27">
        <f t="shared" si="3"/>
        <v>0.33333333333333331</v>
      </c>
      <c r="T37" s="28">
        <f t="shared" si="4"/>
        <v>0.33333333333333331</v>
      </c>
      <c r="U37" s="35">
        <f t="shared" si="9"/>
        <v>7.8749999999999991</v>
      </c>
      <c r="V37" s="26">
        <f t="shared" si="12"/>
        <v>8.75</v>
      </c>
      <c r="W37" s="27">
        <f t="shared" si="13"/>
        <v>8.75</v>
      </c>
      <c r="X37" s="27">
        <f t="shared" si="14"/>
        <v>8.75</v>
      </c>
      <c r="Y37" s="27">
        <f t="shared" si="15"/>
        <v>8.75</v>
      </c>
      <c r="Z37" s="28">
        <f t="shared" si="16"/>
        <v>8.75</v>
      </c>
    </row>
    <row r="38" spans="1:26" x14ac:dyDescent="0.35">
      <c r="A38" s="21">
        <v>3</v>
      </c>
      <c r="B38" s="22">
        <v>2</v>
      </c>
      <c r="C38" s="62">
        <v>0.53</v>
      </c>
      <c r="D38" s="39">
        <v>0.45975376249585431</v>
      </c>
      <c r="E38" s="40">
        <v>0.39022898986682791</v>
      </c>
      <c r="F38" s="40">
        <v>0.3456401988085715</v>
      </c>
      <c r="G38" s="40">
        <v>0.29899089299762477</v>
      </c>
      <c r="H38" s="41">
        <v>0.26895861257431797</v>
      </c>
      <c r="I38" s="40"/>
      <c r="J38" s="23">
        <v>0.83799999999999997</v>
      </c>
      <c r="K38" s="24">
        <v>0.95299999999999996</v>
      </c>
      <c r="L38" s="24">
        <v>0.98099999999999998</v>
      </c>
      <c r="M38" s="24">
        <v>0.98799999999999999</v>
      </c>
      <c r="N38" s="25">
        <v>0.996</v>
      </c>
      <c r="O38" s="35">
        <f t="shared" si="22"/>
        <v>0.53</v>
      </c>
      <c r="P38" s="26">
        <f t="shared" si="23"/>
        <v>0.66666666666666663</v>
      </c>
      <c r="Q38" s="27">
        <f t="shared" si="1"/>
        <v>0.66666666666666663</v>
      </c>
      <c r="R38" s="27">
        <f t="shared" si="2"/>
        <v>0.66666666666666663</v>
      </c>
      <c r="S38" s="27">
        <f t="shared" si="3"/>
        <v>0.66666666666666663</v>
      </c>
      <c r="T38" s="28">
        <f t="shared" si="4"/>
        <v>0.66666666666666663</v>
      </c>
      <c r="U38" s="35">
        <f t="shared" si="9"/>
        <v>13.9125</v>
      </c>
      <c r="V38" s="26">
        <f t="shared" si="12"/>
        <v>17.5</v>
      </c>
      <c r="W38" s="27">
        <f t="shared" si="13"/>
        <v>17.5</v>
      </c>
      <c r="X38" s="27">
        <f t="shared" si="14"/>
        <v>17.5</v>
      </c>
      <c r="Y38" s="27">
        <f t="shared" si="15"/>
        <v>17.5</v>
      </c>
      <c r="Z38" s="28">
        <f t="shared" si="16"/>
        <v>17.5</v>
      </c>
    </row>
    <row r="39" spans="1:26" x14ac:dyDescent="0.35">
      <c r="A39" s="21">
        <v>3</v>
      </c>
      <c r="B39" s="22">
        <v>3</v>
      </c>
      <c r="C39" s="62">
        <v>0.69</v>
      </c>
      <c r="D39" s="39">
        <v>0.61845616432348127</v>
      </c>
      <c r="E39" s="40">
        <v>0.54512493477822443</v>
      </c>
      <c r="F39" s="40">
        <v>0.49296751420514962</v>
      </c>
      <c r="G39" s="40">
        <v>0.44351888756854657</v>
      </c>
      <c r="H39" s="41">
        <v>0.39787728071541728</v>
      </c>
      <c r="I39" s="40"/>
      <c r="J39" s="23">
        <v>0.79</v>
      </c>
      <c r="K39" s="24">
        <v>0.90500000000000003</v>
      </c>
      <c r="L39" s="24">
        <v>0.96799999999999997</v>
      </c>
      <c r="M39" s="24">
        <v>0.97699999999999998</v>
      </c>
      <c r="N39" s="25">
        <v>0.99299999999999999</v>
      </c>
      <c r="O39" s="35">
        <f t="shared" si="22"/>
        <v>0.69</v>
      </c>
      <c r="P39" s="26">
        <f t="shared" si="23"/>
        <v>0.92768424648522196</v>
      </c>
      <c r="Q39" s="27">
        <f t="shared" si="1"/>
        <v>1</v>
      </c>
      <c r="R39" s="27">
        <f t="shared" si="2"/>
        <v>1</v>
      </c>
      <c r="S39" s="27">
        <f t="shared" si="3"/>
        <v>1</v>
      </c>
      <c r="T39" s="28">
        <f t="shared" si="4"/>
        <v>1</v>
      </c>
      <c r="U39" s="35">
        <f t="shared" si="9"/>
        <v>18.112500000000001</v>
      </c>
      <c r="V39" s="26">
        <f t="shared" si="12"/>
        <v>24.351711470237078</v>
      </c>
      <c r="W39" s="27">
        <f t="shared" si="13"/>
        <v>26.25</v>
      </c>
      <c r="X39" s="27">
        <f t="shared" si="14"/>
        <v>26.25</v>
      </c>
      <c r="Y39" s="27">
        <f t="shared" si="15"/>
        <v>26.25</v>
      </c>
      <c r="Z39" s="28">
        <f t="shared" si="16"/>
        <v>26.25</v>
      </c>
    </row>
    <row r="40" spans="1:26" x14ac:dyDescent="0.35">
      <c r="A40" s="21">
        <v>3</v>
      </c>
      <c r="B40" s="22">
        <v>4</v>
      </c>
      <c r="C40" s="62">
        <v>0.78</v>
      </c>
      <c r="D40" s="39">
        <v>0.73086342542920135</v>
      </c>
      <c r="E40" s="40">
        <v>0.68395857811448935</v>
      </c>
      <c r="F40" s="40">
        <v>0.634026147100617</v>
      </c>
      <c r="G40" s="40">
        <v>0.56855482413784797</v>
      </c>
      <c r="H40" s="41">
        <v>0.51864452507772085</v>
      </c>
      <c r="I40" s="40"/>
      <c r="J40" s="23">
        <v>0.71</v>
      </c>
      <c r="K40" s="24">
        <v>0.86099999999999999</v>
      </c>
      <c r="L40" s="24">
        <v>0.92300000000000004</v>
      </c>
      <c r="M40" s="24">
        <v>0.96799999999999997</v>
      </c>
      <c r="N40" s="25">
        <v>0.98599999999999999</v>
      </c>
      <c r="O40" s="35">
        <f t="shared" si="22"/>
        <v>0.78</v>
      </c>
      <c r="P40" s="26">
        <f t="shared" si="23"/>
        <v>1.096295138143802</v>
      </c>
      <c r="Q40" s="27">
        <f t="shared" si="1"/>
        <v>1.3333333333333333</v>
      </c>
      <c r="R40" s="27">
        <f t="shared" si="2"/>
        <v>1.3333333333333333</v>
      </c>
      <c r="S40" s="27">
        <f t="shared" si="3"/>
        <v>1.3333333333333333</v>
      </c>
      <c r="T40" s="28">
        <f t="shared" si="4"/>
        <v>1.3333333333333333</v>
      </c>
      <c r="U40" s="35">
        <f t="shared" si="9"/>
        <v>20.475000000000001</v>
      </c>
      <c r="V40" s="26">
        <f t="shared" si="12"/>
        <v>28.777747376274803</v>
      </c>
      <c r="W40" s="27">
        <f t="shared" si="13"/>
        <v>35</v>
      </c>
      <c r="X40" s="27">
        <f t="shared" si="14"/>
        <v>35</v>
      </c>
      <c r="Y40" s="27">
        <f t="shared" si="15"/>
        <v>35</v>
      </c>
      <c r="Z40" s="28">
        <f t="shared" si="16"/>
        <v>35</v>
      </c>
    </row>
    <row r="41" spans="1:26" x14ac:dyDescent="0.35">
      <c r="A41" s="21">
        <v>3</v>
      </c>
      <c r="B41" s="22">
        <v>5</v>
      </c>
      <c r="C41" s="62">
        <v>0.86</v>
      </c>
      <c r="D41" s="39">
        <v>0.81701192140292167</v>
      </c>
      <c r="E41" s="40">
        <v>0.78244463237011164</v>
      </c>
      <c r="F41" s="40">
        <v>0.74001797579649997</v>
      </c>
      <c r="G41" s="40">
        <v>0.67984846670297028</v>
      </c>
      <c r="H41" s="41">
        <v>0.62112722486630789</v>
      </c>
      <c r="I41" s="40"/>
      <c r="J41" s="23">
        <v>0.65800000000000003</v>
      </c>
      <c r="K41" s="24">
        <v>0.81399999999999995</v>
      </c>
      <c r="L41" s="24">
        <v>0.878</v>
      </c>
      <c r="M41" s="24">
        <v>0.93300000000000005</v>
      </c>
      <c r="N41" s="25">
        <v>0.97</v>
      </c>
      <c r="O41" s="35">
        <f t="shared" si="22"/>
        <v>0.86</v>
      </c>
      <c r="P41" s="26">
        <f t="shared" si="23"/>
        <v>1.2255178821043824</v>
      </c>
      <c r="Q41" s="27">
        <f t="shared" si="1"/>
        <v>1.5648892647402233</v>
      </c>
      <c r="R41" s="27">
        <f t="shared" si="2"/>
        <v>1.6666666666666667</v>
      </c>
      <c r="S41" s="27">
        <f t="shared" si="3"/>
        <v>1.6666666666666667</v>
      </c>
      <c r="T41" s="28">
        <f t="shared" si="4"/>
        <v>1.6666666666666667</v>
      </c>
      <c r="U41" s="35">
        <f t="shared" si="9"/>
        <v>22.574999999999999</v>
      </c>
      <c r="V41" s="26">
        <f t="shared" si="12"/>
        <v>32.169844405240042</v>
      </c>
      <c r="W41" s="27">
        <f t="shared" si="13"/>
        <v>41.078343199430854</v>
      </c>
      <c r="X41" s="27">
        <f t="shared" si="14"/>
        <v>43.75</v>
      </c>
      <c r="Y41" s="27">
        <f t="shared" si="15"/>
        <v>43.75</v>
      </c>
      <c r="Z41" s="28">
        <f t="shared" si="16"/>
        <v>43.75</v>
      </c>
    </row>
    <row r="42" spans="1:26" x14ac:dyDescent="0.35">
      <c r="A42" s="21">
        <v>3</v>
      </c>
      <c r="B42" s="22">
        <v>6</v>
      </c>
      <c r="C42" s="62">
        <v>0.89</v>
      </c>
      <c r="D42" s="39">
        <v>0.8743201803145858</v>
      </c>
      <c r="E42" s="40">
        <v>0.85505347542714327</v>
      </c>
      <c r="F42" s="40">
        <v>0.81789475103981391</v>
      </c>
      <c r="G42" s="40">
        <v>0.76680386034156567</v>
      </c>
      <c r="H42" s="41">
        <v>0.71690143750381985</v>
      </c>
      <c r="I42" s="40"/>
      <c r="J42" s="23">
        <v>0.56899999999999995</v>
      </c>
      <c r="K42" s="24">
        <v>0.77700000000000002</v>
      </c>
      <c r="L42" s="24">
        <v>0.83299999999999996</v>
      </c>
      <c r="M42" s="24">
        <v>0.90800000000000003</v>
      </c>
      <c r="N42" s="25">
        <v>0.92200000000000004</v>
      </c>
      <c r="O42" s="35">
        <f t="shared" si="22"/>
        <v>0.89</v>
      </c>
      <c r="P42" s="26">
        <f t="shared" si="23"/>
        <v>1.3114802704718787</v>
      </c>
      <c r="Q42" s="27">
        <f t="shared" si="1"/>
        <v>1.7101069508542865</v>
      </c>
      <c r="R42" s="27">
        <f t="shared" si="2"/>
        <v>2</v>
      </c>
      <c r="S42" s="27">
        <f t="shared" si="3"/>
        <v>2</v>
      </c>
      <c r="T42" s="28">
        <f t="shared" si="4"/>
        <v>2</v>
      </c>
      <c r="U42" s="35">
        <f t="shared" si="9"/>
        <v>23.362500000000001</v>
      </c>
      <c r="V42" s="26">
        <f t="shared" si="12"/>
        <v>34.426357099886815</v>
      </c>
      <c r="W42" s="27">
        <f t="shared" si="13"/>
        <v>44.890307459925019</v>
      </c>
      <c r="X42" s="27">
        <f t="shared" si="14"/>
        <v>52.5</v>
      </c>
      <c r="Y42" s="27">
        <f t="shared" si="15"/>
        <v>52.5</v>
      </c>
      <c r="Z42" s="28">
        <f t="shared" si="16"/>
        <v>52.5</v>
      </c>
    </row>
    <row r="43" spans="1:26" x14ac:dyDescent="0.35">
      <c r="A43" s="21">
        <v>3</v>
      </c>
      <c r="B43" s="22">
        <v>7</v>
      </c>
      <c r="C43" s="62">
        <v>0.94</v>
      </c>
      <c r="D43" s="39">
        <v>0.92247001521009542</v>
      </c>
      <c r="E43" s="40">
        <v>0.91251609568958658</v>
      </c>
      <c r="F43" s="40">
        <v>0.88349972856893044</v>
      </c>
      <c r="G43" s="40">
        <v>0.84029877111220197</v>
      </c>
      <c r="H43" s="41">
        <v>0.79911280723877109</v>
      </c>
      <c r="I43" s="40"/>
      <c r="J43" s="23">
        <v>0.53700000000000003</v>
      </c>
      <c r="K43" s="24">
        <v>0.70299999999999996</v>
      </c>
      <c r="L43" s="24">
        <v>0.75600000000000001</v>
      </c>
      <c r="M43" s="24">
        <v>0.86599999999999999</v>
      </c>
      <c r="N43" s="25">
        <v>0.91100000000000003</v>
      </c>
      <c r="O43" s="35">
        <f t="shared" si="22"/>
        <v>0.94</v>
      </c>
      <c r="P43" s="26">
        <f t="shared" si="23"/>
        <v>1.3837050228151431</v>
      </c>
      <c r="Q43" s="27">
        <f t="shared" si="1"/>
        <v>1.8250321913791732</v>
      </c>
      <c r="R43" s="27">
        <f t="shared" si="2"/>
        <v>2.2087493214223262</v>
      </c>
      <c r="S43" s="27">
        <f t="shared" si="3"/>
        <v>2.3333333333333335</v>
      </c>
      <c r="T43" s="28">
        <f t="shared" si="4"/>
        <v>2.3333333333333335</v>
      </c>
      <c r="U43" s="35">
        <f t="shared" si="9"/>
        <v>24.675000000000001</v>
      </c>
      <c r="V43" s="26">
        <f t="shared" si="12"/>
        <v>36.32225684889751</v>
      </c>
      <c r="W43" s="27">
        <f t="shared" si="13"/>
        <v>47.907095023703292</v>
      </c>
      <c r="X43" s="27">
        <f t="shared" si="14"/>
        <v>57.97966968733607</v>
      </c>
      <c r="Y43" s="27">
        <f t="shared" si="15"/>
        <v>61.25</v>
      </c>
      <c r="Z43" s="28">
        <f t="shared" si="16"/>
        <v>61.25</v>
      </c>
    </row>
    <row r="44" spans="1:26" x14ac:dyDescent="0.35">
      <c r="A44" s="21">
        <v>3</v>
      </c>
      <c r="B44" s="22">
        <v>8</v>
      </c>
      <c r="C44" s="62">
        <v>0.95</v>
      </c>
      <c r="D44" s="39">
        <v>0.94981471369091774</v>
      </c>
      <c r="E44" s="40">
        <v>0.95173015505395175</v>
      </c>
      <c r="F44" s="40">
        <v>0.92345196100011195</v>
      </c>
      <c r="G44" s="40">
        <v>0.89802936468955075</v>
      </c>
      <c r="H44" s="41">
        <v>0.85898507208806962</v>
      </c>
      <c r="I44" s="40"/>
      <c r="J44" s="23">
        <v>0.5</v>
      </c>
      <c r="K44" s="24">
        <v>0.65300000000000002</v>
      </c>
      <c r="L44" s="24">
        <v>0.72599999999999998</v>
      </c>
      <c r="M44" s="24">
        <v>0.82</v>
      </c>
      <c r="N44" s="25">
        <v>0.89200000000000002</v>
      </c>
      <c r="O44" s="35">
        <f t="shared" si="22"/>
        <v>0.95</v>
      </c>
      <c r="P44" s="26">
        <f t="shared" si="23"/>
        <v>1.4247220705363766</v>
      </c>
      <c r="Q44" s="27">
        <f t="shared" si="1"/>
        <v>1.9034603101079035</v>
      </c>
      <c r="R44" s="27">
        <f t="shared" si="2"/>
        <v>2.3086299025002797</v>
      </c>
      <c r="S44" s="27">
        <f t="shared" si="3"/>
        <v>2.6666666666666665</v>
      </c>
      <c r="T44" s="28">
        <f t="shared" si="4"/>
        <v>2.6666666666666665</v>
      </c>
      <c r="U44" s="35">
        <f t="shared" si="9"/>
        <v>24.937499999999996</v>
      </c>
      <c r="V44" s="26">
        <f t="shared" si="12"/>
        <v>37.398954351579889</v>
      </c>
      <c r="W44" s="27">
        <f t="shared" si="13"/>
        <v>49.965833140332464</v>
      </c>
      <c r="X44" s="27">
        <f t="shared" si="14"/>
        <v>60.601534940632348</v>
      </c>
      <c r="Y44" s="27">
        <f t="shared" si="15"/>
        <v>70</v>
      </c>
      <c r="Z44" s="28">
        <f t="shared" si="16"/>
        <v>70</v>
      </c>
    </row>
    <row r="45" spans="1:26" x14ac:dyDescent="0.35">
      <c r="A45" s="21">
        <v>3</v>
      </c>
      <c r="B45" s="22">
        <v>9</v>
      </c>
      <c r="C45" s="62">
        <v>0.98</v>
      </c>
      <c r="D45" s="39">
        <v>0.97315101035635654</v>
      </c>
      <c r="E45" s="40">
        <v>0.98407321408841286</v>
      </c>
      <c r="F45" s="40">
        <v>0.95795496912502742</v>
      </c>
      <c r="G45" s="40">
        <v>0.93976072409182609</v>
      </c>
      <c r="H45" s="41">
        <v>0.91000666688344367</v>
      </c>
      <c r="I45" s="40"/>
      <c r="J45" s="23">
        <v>0.46700000000000003</v>
      </c>
      <c r="K45" s="24">
        <v>0.61599999999999999</v>
      </c>
      <c r="L45" s="24">
        <v>0.68500000000000005</v>
      </c>
      <c r="M45" s="24">
        <v>0.75600000000000001</v>
      </c>
      <c r="N45" s="25">
        <v>0.82499999999999996</v>
      </c>
      <c r="O45" s="35">
        <f t="shared" si="22"/>
        <v>0.98</v>
      </c>
      <c r="P45" s="26">
        <f t="shared" si="23"/>
        <v>1.4597265155345349</v>
      </c>
      <c r="Q45" s="27">
        <f t="shared" si="1"/>
        <v>1.9681464281768257</v>
      </c>
      <c r="R45" s="27">
        <f t="shared" si="2"/>
        <v>2.3948874228125687</v>
      </c>
      <c r="S45" s="27">
        <f t="shared" si="3"/>
        <v>2.8192821722754782</v>
      </c>
      <c r="T45" s="28">
        <f t="shared" si="4"/>
        <v>3</v>
      </c>
      <c r="U45" s="35">
        <f t="shared" si="9"/>
        <v>25.725000000000001</v>
      </c>
      <c r="V45" s="26">
        <f t="shared" si="12"/>
        <v>38.317821032781538</v>
      </c>
      <c r="W45" s="27">
        <f t="shared" si="13"/>
        <v>51.663843739641678</v>
      </c>
      <c r="X45" s="27">
        <f t="shared" si="14"/>
        <v>62.865794848829928</v>
      </c>
      <c r="Y45" s="27">
        <f t="shared" si="15"/>
        <v>74.006157022231307</v>
      </c>
      <c r="Z45" s="28">
        <f t="shared" si="16"/>
        <v>78.75</v>
      </c>
    </row>
    <row r="46" spans="1:26" x14ac:dyDescent="0.35">
      <c r="A46" s="21">
        <v>3</v>
      </c>
      <c r="B46" s="22">
        <v>10</v>
      </c>
      <c r="C46" s="62">
        <v>1</v>
      </c>
      <c r="D46" s="39">
        <v>0.98593355234499458</v>
      </c>
      <c r="E46" s="40">
        <v>1.001764549155832</v>
      </c>
      <c r="F46" s="40">
        <v>0.98260164522307336</v>
      </c>
      <c r="G46" s="40">
        <v>0.97122122357411778</v>
      </c>
      <c r="H46" s="41">
        <v>0.94643677698903239</v>
      </c>
      <c r="I46" s="40"/>
      <c r="J46" s="23">
        <v>0.41199999999999998</v>
      </c>
      <c r="K46" s="24">
        <v>0.57199999999999995</v>
      </c>
      <c r="L46" s="24">
        <v>0.63300000000000001</v>
      </c>
      <c r="M46" s="24">
        <v>0.71299999999999997</v>
      </c>
      <c r="N46" s="25">
        <v>0.76</v>
      </c>
      <c r="O46" s="35">
        <f t="shared" si="22"/>
        <v>1</v>
      </c>
      <c r="P46" s="26">
        <f t="shared" si="23"/>
        <v>1.4789003285174918</v>
      </c>
      <c r="Q46" s="27">
        <f t="shared" si="1"/>
        <v>2.003529098311664</v>
      </c>
      <c r="R46" s="27">
        <f t="shared" si="2"/>
        <v>2.4565041130576835</v>
      </c>
      <c r="S46" s="27">
        <f t="shared" si="3"/>
        <v>2.9136636707223533</v>
      </c>
      <c r="T46" s="28">
        <f t="shared" si="4"/>
        <v>3.3125287194616133</v>
      </c>
      <c r="U46" s="35">
        <f t="shared" si="9"/>
        <v>26.25</v>
      </c>
      <c r="V46" s="26">
        <f t="shared" si="12"/>
        <v>38.82113362358416</v>
      </c>
      <c r="W46" s="27">
        <f t="shared" si="13"/>
        <v>52.592638830681189</v>
      </c>
      <c r="X46" s="27">
        <f t="shared" si="14"/>
        <v>64.483232967764195</v>
      </c>
      <c r="Y46" s="27">
        <f t="shared" si="15"/>
        <v>76.483671356461755</v>
      </c>
      <c r="Z46" s="28">
        <f t="shared" si="16"/>
        <v>86.953878885867354</v>
      </c>
    </row>
    <row r="47" spans="1:26" x14ac:dyDescent="0.35">
      <c r="A47" s="21">
        <v>3</v>
      </c>
      <c r="B47" s="22">
        <v>11</v>
      </c>
      <c r="C47" s="62">
        <v>1</v>
      </c>
      <c r="D47" s="39">
        <v>0.99905651301646847</v>
      </c>
      <c r="E47" s="40">
        <v>1.0250092719054311</v>
      </c>
      <c r="F47" s="40">
        <v>1.0090185966766572</v>
      </c>
      <c r="G47" s="40">
        <v>0.99362340306094987</v>
      </c>
      <c r="H47" s="41">
        <v>0.9735521199452466</v>
      </c>
      <c r="I47" s="40"/>
      <c r="J47" s="23">
        <v>0.39300000000000002</v>
      </c>
      <c r="K47" s="24">
        <v>0.51100000000000001</v>
      </c>
      <c r="L47" s="24">
        <v>0.59299999999999997</v>
      </c>
      <c r="M47" s="24">
        <v>0.68300000000000005</v>
      </c>
      <c r="N47" s="25">
        <v>0.71699999999999997</v>
      </c>
      <c r="O47" s="35">
        <f t="shared" si="22"/>
        <v>1</v>
      </c>
      <c r="P47" s="26">
        <f t="shared" si="23"/>
        <v>1.4985847695247028</v>
      </c>
      <c r="Q47" s="27">
        <f t="shared" si="1"/>
        <v>2.0500185438108622</v>
      </c>
      <c r="R47" s="27">
        <f t="shared" si="2"/>
        <v>2.5225464916916431</v>
      </c>
      <c r="S47" s="27">
        <f t="shared" si="3"/>
        <v>2.9808702091828496</v>
      </c>
      <c r="T47" s="28">
        <f t="shared" si="4"/>
        <v>3.4074324198083632</v>
      </c>
      <c r="U47" s="35">
        <f t="shared" si="9"/>
        <v>26.25</v>
      </c>
      <c r="V47" s="26">
        <f t="shared" ref="V47:V81" si="29">(P47*$A47*$B$3)-(($B$4*$A47)+(P47*$B$5*$A47))</f>
        <v>39.337850200023439</v>
      </c>
      <c r="W47" s="27">
        <f t="shared" ref="W47:W81" si="30">(Q47*$A47*$B$3)-(($B$4*$A47)+(Q47*$B$5*$A47))</f>
        <v>53.812986775035128</v>
      </c>
      <c r="X47" s="27">
        <f t="shared" ref="X47:X81" si="31">(R47*$A47*$B$3)-(($B$4*$A47)+(R47*$B$5*$A47))</f>
        <v>66.216845406905634</v>
      </c>
      <c r="Y47" s="27">
        <f t="shared" ref="Y47:Y81" si="32">(S47*$A47*$B$3)-(($B$4*$A47)+(S47*$B$5*$A47))</f>
        <v>78.247842991049808</v>
      </c>
      <c r="Z47" s="28">
        <f t="shared" ref="Z47:Z81" si="33">(T47*$A47*$B$3)-(($B$4*$A47)+(T47*$B$5*$A47))</f>
        <v>89.445101019969542</v>
      </c>
    </row>
    <row r="48" spans="1:26" x14ac:dyDescent="0.35">
      <c r="A48" s="18">
        <v>3</v>
      </c>
      <c r="B48" s="20">
        <v>12</v>
      </c>
      <c r="C48" s="63">
        <v>1</v>
      </c>
      <c r="D48" s="42">
        <v>1.0087458131382314</v>
      </c>
      <c r="E48" s="43">
        <v>1.0343167479102144</v>
      </c>
      <c r="F48" s="43">
        <v>1.0222754650456125</v>
      </c>
      <c r="G48" s="43">
        <v>1.0157928595331627</v>
      </c>
      <c r="H48" s="44">
        <v>0.99199150943273817</v>
      </c>
      <c r="I48" s="43"/>
      <c r="J48" s="29">
        <v>0.34899999999999998</v>
      </c>
      <c r="K48" s="30">
        <v>0.504</v>
      </c>
      <c r="L48" s="30">
        <v>0.51700000000000002</v>
      </c>
      <c r="M48" s="30">
        <v>0.58399999999999996</v>
      </c>
      <c r="N48" s="31">
        <v>0.70899999999999996</v>
      </c>
      <c r="O48" s="35">
        <f t="shared" si="22"/>
        <v>1</v>
      </c>
      <c r="P48" s="32">
        <f t="shared" si="23"/>
        <v>1.513118719707347</v>
      </c>
      <c r="Q48" s="33">
        <f t="shared" si="1"/>
        <v>2.0686334958204289</v>
      </c>
      <c r="R48" s="33">
        <f t="shared" si="2"/>
        <v>2.5556886626140312</v>
      </c>
      <c r="S48" s="33">
        <f t="shared" si="3"/>
        <v>3.047378578599488</v>
      </c>
      <c r="T48" s="34">
        <f t="shared" si="4"/>
        <v>3.4719702830145835</v>
      </c>
      <c r="U48" s="35">
        <f t="shared" si="9"/>
        <v>26.25</v>
      </c>
      <c r="V48" s="32">
        <f t="shared" si="29"/>
        <v>39.719366392317866</v>
      </c>
      <c r="W48" s="33">
        <f t="shared" si="30"/>
        <v>54.301629265286252</v>
      </c>
      <c r="X48" s="33">
        <f t="shared" si="31"/>
        <v>67.086827393618321</v>
      </c>
      <c r="Y48" s="33">
        <f t="shared" si="32"/>
        <v>79.993687688236562</v>
      </c>
      <c r="Z48" s="34">
        <f t="shared" si="33"/>
        <v>91.139219929132821</v>
      </c>
    </row>
    <row r="49" spans="1:26" x14ac:dyDescent="0.35">
      <c r="A49" s="21">
        <v>4</v>
      </c>
      <c r="B49" s="22">
        <v>0</v>
      </c>
      <c r="C49" s="62">
        <v>0</v>
      </c>
      <c r="D49" s="52">
        <v>0</v>
      </c>
      <c r="E49" s="53">
        <v>0</v>
      </c>
      <c r="F49" s="53">
        <v>0</v>
      </c>
      <c r="G49" s="53">
        <v>0</v>
      </c>
      <c r="H49" s="54">
        <v>0</v>
      </c>
      <c r="I49" s="53"/>
      <c r="J49" s="55">
        <v>0</v>
      </c>
      <c r="K49" s="56">
        <v>0</v>
      </c>
      <c r="L49" s="56">
        <v>0</v>
      </c>
      <c r="M49" s="56">
        <v>0</v>
      </c>
      <c r="N49" s="57">
        <v>0</v>
      </c>
      <c r="O49" s="35">
        <f t="shared" si="22"/>
        <v>0</v>
      </c>
      <c r="P49" s="35">
        <f t="shared" si="23"/>
        <v>0</v>
      </c>
      <c r="Q49" s="36">
        <f t="shared" si="1"/>
        <v>0</v>
      </c>
      <c r="R49" s="36">
        <f t="shared" si="2"/>
        <v>0</v>
      </c>
      <c r="S49" s="36">
        <f t="shared" si="3"/>
        <v>0</v>
      </c>
      <c r="T49" s="37">
        <f t="shared" si="4"/>
        <v>0</v>
      </c>
      <c r="U49" s="35">
        <f t="shared" si="9"/>
        <v>0</v>
      </c>
      <c r="V49" s="35">
        <f t="shared" si="29"/>
        <v>0</v>
      </c>
      <c r="W49" s="36">
        <f t="shared" si="30"/>
        <v>0</v>
      </c>
      <c r="X49" s="36">
        <f t="shared" si="31"/>
        <v>0</v>
      </c>
      <c r="Y49" s="36">
        <f t="shared" si="32"/>
        <v>0</v>
      </c>
      <c r="Z49" s="37">
        <f t="shared" si="33"/>
        <v>0</v>
      </c>
    </row>
    <row r="50" spans="1:26" x14ac:dyDescent="0.35">
      <c r="A50" s="21">
        <v>4</v>
      </c>
      <c r="B50" s="22">
        <v>1</v>
      </c>
      <c r="C50" s="62">
        <v>0.23</v>
      </c>
      <c r="D50" s="39">
        <v>0.19060284787729584</v>
      </c>
      <c r="E50" s="40">
        <v>0.1526716312532283</v>
      </c>
      <c r="F50" s="40">
        <v>0.13403288572182256</v>
      </c>
      <c r="G50" s="40">
        <v>0.11549672051355983</v>
      </c>
      <c r="H50" s="41">
        <v>0.10313468856011908</v>
      </c>
      <c r="I50" s="40"/>
      <c r="J50" s="23">
        <v>0.89100000000000001</v>
      </c>
      <c r="K50" s="24">
        <v>0.96699999999999997</v>
      </c>
      <c r="L50" s="24">
        <v>0.99399999999999999</v>
      </c>
      <c r="M50" s="24">
        <v>0.995</v>
      </c>
      <c r="N50" s="25">
        <v>0.997</v>
      </c>
      <c r="O50" s="35">
        <f t="shared" si="22"/>
        <v>0.23</v>
      </c>
      <c r="P50" s="26">
        <f t="shared" si="23"/>
        <v>0.25</v>
      </c>
      <c r="Q50" s="27">
        <f t="shared" si="1"/>
        <v>0.25</v>
      </c>
      <c r="R50" s="27">
        <f t="shared" si="2"/>
        <v>0.25</v>
      </c>
      <c r="S50" s="27">
        <f t="shared" si="3"/>
        <v>0.25</v>
      </c>
      <c r="T50" s="28">
        <f t="shared" si="4"/>
        <v>0.25</v>
      </c>
      <c r="U50" s="35">
        <f t="shared" si="9"/>
        <v>8.0500000000000007</v>
      </c>
      <c r="V50" s="26">
        <f t="shared" si="29"/>
        <v>8.75</v>
      </c>
      <c r="W50" s="27">
        <f t="shared" si="30"/>
        <v>8.75</v>
      </c>
      <c r="X50" s="27">
        <f t="shared" si="31"/>
        <v>8.75</v>
      </c>
      <c r="Y50" s="27">
        <f t="shared" si="32"/>
        <v>8.75</v>
      </c>
      <c r="Z50" s="28">
        <f t="shared" si="33"/>
        <v>8.75</v>
      </c>
    </row>
    <row r="51" spans="1:26" x14ac:dyDescent="0.35">
      <c r="A51" s="21">
        <v>4</v>
      </c>
      <c r="B51" s="22">
        <v>2</v>
      </c>
      <c r="C51" s="62">
        <v>0.44</v>
      </c>
      <c r="D51" s="39">
        <v>0.36512299086351108</v>
      </c>
      <c r="E51" s="40">
        <v>0.29895599243334925</v>
      </c>
      <c r="F51" s="40">
        <v>0.26411268117086045</v>
      </c>
      <c r="G51" s="40">
        <v>0.22715819699691225</v>
      </c>
      <c r="H51" s="41">
        <v>0.20371745882048084</v>
      </c>
      <c r="I51" s="40"/>
      <c r="J51" s="23">
        <v>0.88600000000000001</v>
      </c>
      <c r="K51" s="24">
        <v>0.98199999999999998</v>
      </c>
      <c r="L51" s="24">
        <v>0.99099999999999999</v>
      </c>
      <c r="M51" s="24">
        <v>0.99199999999999999</v>
      </c>
      <c r="N51" s="25">
        <v>0.997</v>
      </c>
      <c r="O51" s="35">
        <f t="shared" si="22"/>
        <v>0.44</v>
      </c>
      <c r="P51" s="26">
        <f t="shared" si="23"/>
        <v>0.5</v>
      </c>
      <c r="Q51" s="27">
        <f t="shared" si="1"/>
        <v>0.5</v>
      </c>
      <c r="R51" s="27">
        <f t="shared" si="2"/>
        <v>0.5</v>
      </c>
      <c r="S51" s="27">
        <f t="shared" si="3"/>
        <v>0.5</v>
      </c>
      <c r="T51" s="28">
        <f t="shared" si="4"/>
        <v>0.5</v>
      </c>
      <c r="U51" s="35">
        <f t="shared" si="9"/>
        <v>15.4</v>
      </c>
      <c r="V51" s="26">
        <f t="shared" si="29"/>
        <v>17.5</v>
      </c>
      <c r="W51" s="27">
        <f t="shared" si="30"/>
        <v>17.5</v>
      </c>
      <c r="X51" s="27">
        <f t="shared" si="31"/>
        <v>17.5</v>
      </c>
      <c r="Y51" s="27">
        <f t="shared" si="32"/>
        <v>17.5</v>
      </c>
      <c r="Z51" s="28">
        <f t="shared" si="33"/>
        <v>17.5</v>
      </c>
    </row>
    <row r="52" spans="1:26" x14ac:dyDescent="0.35">
      <c r="A52" s="21">
        <v>4</v>
      </c>
      <c r="B52" s="22">
        <v>3</v>
      </c>
      <c r="C52" s="62">
        <v>0.57999999999999996</v>
      </c>
      <c r="D52" s="39">
        <v>0.50603468006978358</v>
      </c>
      <c r="E52" s="40">
        <v>0.43197969771820538</v>
      </c>
      <c r="F52" s="40">
        <v>0.38901810198296138</v>
      </c>
      <c r="G52" s="40">
        <v>0.33852578893079016</v>
      </c>
      <c r="H52" s="41">
        <v>0.29657441012398789</v>
      </c>
      <c r="I52" s="40"/>
      <c r="J52" s="23">
        <v>0.83899999999999997</v>
      </c>
      <c r="K52" s="24">
        <v>0.95899999999999996</v>
      </c>
      <c r="L52" s="24">
        <v>0.98399999999999999</v>
      </c>
      <c r="M52" s="24">
        <v>0.996</v>
      </c>
      <c r="N52" s="25">
        <v>0.99199999999999999</v>
      </c>
      <c r="O52" s="35">
        <f t="shared" si="22"/>
        <v>0.57999999999999996</v>
      </c>
      <c r="P52" s="26">
        <f t="shared" si="23"/>
        <v>0.75</v>
      </c>
      <c r="Q52" s="27">
        <f t="shared" si="1"/>
        <v>0.75</v>
      </c>
      <c r="R52" s="27">
        <f t="shared" si="2"/>
        <v>0.75</v>
      </c>
      <c r="S52" s="27">
        <f t="shared" si="3"/>
        <v>0.75</v>
      </c>
      <c r="T52" s="28">
        <f t="shared" si="4"/>
        <v>0.75</v>
      </c>
      <c r="U52" s="35">
        <f t="shared" si="9"/>
        <v>20.3</v>
      </c>
      <c r="V52" s="26">
        <f t="shared" si="29"/>
        <v>26.25</v>
      </c>
      <c r="W52" s="27">
        <f t="shared" si="30"/>
        <v>26.25</v>
      </c>
      <c r="X52" s="27">
        <f t="shared" si="31"/>
        <v>26.25</v>
      </c>
      <c r="Y52" s="27">
        <f t="shared" si="32"/>
        <v>26.25</v>
      </c>
      <c r="Z52" s="28">
        <f t="shared" si="33"/>
        <v>26.25</v>
      </c>
    </row>
    <row r="53" spans="1:26" x14ac:dyDescent="0.35">
      <c r="A53" s="21">
        <v>4</v>
      </c>
      <c r="B53" s="22">
        <v>4</v>
      </c>
      <c r="C53" s="62">
        <v>0.7</v>
      </c>
      <c r="D53" s="39">
        <v>0.63380172755669573</v>
      </c>
      <c r="E53" s="40">
        <v>0.54747958671473262</v>
      </c>
      <c r="F53" s="40">
        <v>0.49208974537047273</v>
      </c>
      <c r="G53" s="40">
        <v>0.43908623234450617</v>
      </c>
      <c r="H53" s="41">
        <v>0.39067395213803302</v>
      </c>
      <c r="I53" s="40"/>
      <c r="J53" s="23">
        <v>0.82199999999999995</v>
      </c>
      <c r="K53" s="24">
        <v>0.94299999999999995</v>
      </c>
      <c r="L53" s="24">
        <v>0.97399999999999998</v>
      </c>
      <c r="M53" s="24">
        <v>0.99199999999999999</v>
      </c>
      <c r="N53" s="25">
        <v>0.98499999999999999</v>
      </c>
      <c r="O53" s="35">
        <f t="shared" si="22"/>
        <v>0.7</v>
      </c>
      <c r="P53" s="26">
        <f t="shared" si="23"/>
        <v>0.95070259133504353</v>
      </c>
      <c r="Q53" s="27">
        <f t="shared" si="1"/>
        <v>1</v>
      </c>
      <c r="R53" s="27">
        <f t="shared" si="2"/>
        <v>1</v>
      </c>
      <c r="S53" s="27">
        <f t="shared" si="3"/>
        <v>1</v>
      </c>
      <c r="T53" s="28">
        <f t="shared" si="4"/>
        <v>1</v>
      </c>
      <c r="U53" s="35">
        <f t="shared" si="9"/>
        <v>24.5</v>
      </c>
      <c r="V53" s="26">
        <f t="shared" si="29"/>
        <v>33.274590696726527</v>
      </c>
      <c r="W53" s="27">
        <f t="shared" si="30"/>
        <v>35</v>
      </c>
      <c r="X53" s="27">
        <f t="shared" si="31"/>
        <v>35</v>
      </c>
      <c r="Y53" s="27">
        <f t="shared" si="32"/>
        <v>35</v>
      </c>
      <c r="Z53" s="28">
        <f t="shared" si="33"/>
        <v>35</v>
      </c>
    </row>
    <row r="54" spans="1:26" x14ac:dyDescent="0.35">
      <c r="A54" s="21">
        <v>4</v>
      </c>
      <c r="B54" s="22">
        <v>5</v>
      </c>
      <c r="C54" s="62">
        <v>0.78</v>
      </c>
      <c r="D54" s="39">
        <v>0.71938044141291912</v>
      </c>
      <c r="E54" s="40">
        <v>0.65631524277407083</v>
      </c>
      <c r="F54" s="40">
        <v>0.60228242057669201</v>
      </c>
      <c r="G54" s="40">
        <v>0.53408249160481502</v>
      </c>
      <c r="H54" s="41">
        <v>0.46941970771138464</v>
      </c>
      <c r="I54" s="40"/>
      <c r="J54" s="23">
        <v>0.76100000000000001</v>
      </c>
      <c r="K54" s="24">
        <v>0.92300000000000004</v>
      </c>
      <c r="L54" s="24">
        <v>0.95299999999999996</v>
      </c>
      <c r="M54" s="24">
        <v>0.98299999999999998</v>
      </c>
      <c r="N54" s="25">
        <v>0.97099999999999997</v>
      </c>
      <c r="O54" s="35">
        <f t="shared" si="22"/>
        <v>0.78</v>
      </c>
      <c r="P54" s="26">
        <f t="shared" si="23"/>
        <v>1.0790706621193786</v>
      </c>
      <c r="Q54" s="27">
        <f t="shared" si="1"/>
        <v>1.25</v>
      </c>
      <c r="R54" s="27">
        <f t="shared" si="2"/>
        <v>1.25</v>
      </c>
      <c r="S54" s="27">
        <f t="shared" si="3"/>
        <v>1.25</v>
      </c>
      <c r="T54" s="28">
        <f t="shared" si="4"/>
        <v>1.25</v>
      </c>
      <c r="U54" s="35">
        <f t="shared" si="9"/>
        <v>27.300000000000004</v>
      </c>
      <c r="V54" s="26">
        <f t="shared" si="29"/>
        <v>37.767473174178249</v>
      </c>
      <c r="W54" s="27">
        <f t="shared" si="30"/>
        <v>43.75</v>
      </c>
      <c r="X54" s="27">
        <f t="shared" si="31"/>
        <v>43.75</v>
      </c>
      <c r="Y54" s="27">
        <f t="shared" si="32"/>
        <v>43.75</v>
      </c>
      <c r="Z54" s="28">
        <f t="shared" si="33"/>
        <v>43.75</v>
      </c>
    </row>
    <row r="55" spans="1:26" x14ac:dyDescent="0.35">
      <c r="A55" s="21">
        <v>4</v>
      </c>
      <c r="B55" s="22">
        <v>6</v>
      </c>
      <c r="C55" s="62">
        <v>0.84</v>
      </c>
      <c r="D55" s="39">
        <v>0.78767614182699919</v>
      </c>
      <c r="E55" s="40">
        <v>0.73847260642192647</v>
      </c>
      <c r="F55" s="40">
        <v>0.68947616227668296</v>
      </c>
      <c r="G55" s="40">
        <v>0.62439659440301287</v>
      </c>
      <c r="H55" s="41">
        <v>0.54244296181010387</v>
      </c>
      <c r="I55" s="40"/>
      <c r="J55" s="23">
        <v>0.70299999999999996</v>
      </c>
      <c r="K55" s="24">
        <v>0.86799999999999999</v>
      </c>
      <c r="L55" s="24">
        <v>0.92600000000000005</v>
      </c>
      <c r="M55" s="24">
        <v>0.96699999999999997</v>
      </c>
      <c r="N55" s="25">
        <v>0.94599999999999995</v>
      </c>
      <c r="O55" s="35">
        <f t="shared" si="22"/>
        <v>0.84</v>
      </c>
      <c r="P55" s="26">
        <f t="shared" si="23"/>
        <v>1.1815142127404987</v>
      </c>
      <c r="Q55" s="27">
        <f t="shared" si="1"/>
        <v>1.4769452128438529</v>
      </c>
      <c r="R55" s="27">
        <f t="shared" si="2"/>
        <v>1.5</v>
      </c>
      <c r="S55" s="27">
        <f t="shared" si="3"/>
        <v>1.5</v>
      </c>
      <c r="T55" s="28">
        <f t="shared" si="4"/>
        <v>1.5</v>
      </c>
      <c r="U55" s="35">
        <f t="shared" si="9"/>
        <v>29.399999999999995</v>
      </c>
      <c r="V55" s="26">
        <f t="shared" si="29"/>
        <v>41.35299744591746</v>
      </c>
      <c r="W55" s="27">
        <f t="shared" si="30"/>
        <v>51.693082449534856</v>
      </c>
      <c r="X55" s="27">
        <f t="shared" si="31"/>
        <v>52.5</v>
      </c>
      <c r="Y55" s="27">
        <f t="shared" si="32"/>
        <v>52.5</v>
      </c>
      <c r="Z55" s="28">
        <f t="shared" si="33"/>
        <v>52.5</v>
      </c>
    </row>
    <row r="56" spans="1:26" x14ac:dyDescent="0.35">
      <c r="A56" s="21">
        <v>4</v>
      </c>
      <c r="B56" s="22">
        <v>7</v>
      </c>
      <c r="C56" s="62">
        <v>0.87</v>
      </c>
      <c r="D56" s="39">
        <v>0.84446174735216417</v>
      </c>
      <c r="E56" s="40">
        <v>0.80813384353773288</v>
      </c>
      <c r="F56" s="40">
        <v>0.76231047422648524</v>
      </c>
      <c r="G56" s="40">
        <v>0.70034282220538291</v>
      </c>
      <c r="H56" s="41">
        <v>0.60157377672988954</v>
      </c>
      <c r="I56" s="40"/>
      <c r="J56" s="23">
        <v>0.67600000000000005</v>
      </c>
      <c r="K56" s="24">
        <v>0.84499999999999997</v>
      </c>
      <c r="L56" s="24">
        <v>0.90600000000000003</v>
      </c>
      <c r="M56" s="24">
        <v>0.95399999999999996</v>
      </c>
      <c r="N56" s="25">
        <v>0.91300000000000003</v>
      </c>
      <c r="O56" s="35">
        <f t="shared" si="22"/>
        <v>0.87</v>
      </c>
      <c r="P56" s="26">
        <f t="shared" si="23"/>
        <v>1.2666926210282463</v>
      </c>
      <c r="Q56" s="27">
        <f t="shared" si="1"/>
        <v>1.6162676870754658</v>
      </c>
      <c r="R56" s="27">
        <f t="shared" si="2"/>
        <v>1.75</v>
      </c>
      <c r="S56" s="27">
        <f t="shared" si="3"/>
        <v>1.75</v>
      </c>
      <c r="T56" s="28">
        <f t="shared" si="4"/>
        <v>1.75</v>
      </c>
      <c r="U56" s="35">
        <f t="shared" si="9"/>
        <v>30.45</v>
      </c>
      <c r="V56" s="26">
        <f t="shared" si="29"/>
        <v>44.33424173598862</v>
      </c>
      <c r="W56" s="27">
        <f t="shared" si="30"/>
        <v>56.569369047641295</v>
      </c>
      <c r="X56" s="27">
        <f t="shared" si="31"/>
        <v>61.25</v>
      </c>
      <c r="Y56" s="27">
        <f t="shared" si="32"/>
        <v>61.25</v>
      </c>
      <c r="Z56" s="28">
        <f t="shared" si="33"/>
        <v>61.25</v>
      </c>
    </row>
    <row r="57" spans="1:26" x14ac:dyDescent="0.35">
      <c r="A57" s="21">
        <v>4</v>
      </c>
      <c r="B57" s="22">
        <v>8</v>
      </c>
      <c r="C57" s="62">
        <v>0.9</v>
      </c>
      <c r="D57" s="39">
        <v>0.87540231423960313</v>
      </c>
      <c r="E57" s="40">
        <v>0.86071305807780873</v>
      </c>
      <c r="F57" s="40">
        <v>0.81665993656718683</v>
      </c>
      <c r="G57" s="40">
        <v>0.7713190425089933</v>
      </c>
      <c r="H57" s="41">
        <v>0.64928113370126861</v>
      </c>
      <c r="I57" s="40"/>
      <c r="J57" s="23">
        <v>0.60399999999999998</v>
      </c>
      <c r="K57" s="24">
        <v>0.80700000000000005</v>
      </c>
      <c r="L57" s="24">
        <v>0.85299999999999998</v>
      </c>
      <c r="M57" s="24">
        <v>0.92900000000000005</v>
      </c>
      <c r="N57" s="25">
        <v>0.88600000000000001</v>
      </c>
      <c r="O57" s="35">
        <f t="shared" si="22"/>
        <v>0.9</v>
      </c>
      <c r="P57" s="26">
        <f t="shared" si="23"/>
        <v>1.3131034713594048</v>
      </c>
      <c r="Q57" s="27">
        <f t="shared" si="1"/>
        <v>1.7214261161556175</v>
      </c>
      <c r="R57" s="27">
        <f t="shared" si="2"/>
        <v>2</v>
      </c>
      <c r="S57" s="27">
        <f t="shared" si="3"/>
        <v>2</v>
      </c>
      <c r="T57" s="28">
        <f t="shared" si="4"/>
        <v>2</v>
      </c>
      <c r="U57" s="35">
        <f t="shared" si="9"/>
        <v>31.5</v>
      </c>
      <c r="V57" s="26">
        <f t="shared" si="29"/>
        <v>45.958621497579173</v>
      </c>
      <c r="W57" s="27">
        <f t="shared" si="30"/>
        <v>60.24991406544661</v>
      </c>
      <c r="X57" s="27">
        <f t="shared" si="31"/>
        <v>70</v>
      </c>
      <c r="Y57" s="27">
        <f t="shared" si="32"/>
        <v>70</v>
      </c>
      <c r="Z57" s="28">
        <f t="shared" si="33"/>
        <v>70</v>
      </c>
    </row>
    <row r="58" spans="1:26" x14ac:dyDescent="0.35">
      <c r="A58" s="21">
        <v>4</v>
      </c>
      <c r="B58" s="22">
        <v>9</v>
      </c>
      <c r="C58" s="62">
        <v>0.93</v>
      </c>
      <c r="D58" s="39">
        <v>0.91012473137910288</v>
      </c>
      <c r="E58" s="40">
        <v>0.8991403193427816</v>
      </c>
      <c r="F58" s="40">
        <v>0.86507182432337004</v>
      </c>
      <c r="G58" s="40">
        <v>0.82138768121504613</v>
      </c>
      <c r="H58" s="41">
        <v>0.69241843578629991</v>
      </c>
      <c r="I58" s="40"/>
      <c r="J58" s="23">
        <v>0.61499999999999999</v>
      </c>
      <c r="K58" s="24">
        <v>0.755</v>
      </c>
      <c r="L58" s="24">
        <v>0.79600000000000004</v>
      </c>
      <c r="M58" s="24">
        <v>0.89800000000000002</v>
      </c>
      <c r="N58" s="25">
        <v>0.81</v>
      </c>
      <c r="O58" s="35">
        <f t="shared" si="22"/>
        <v>0.93</v>
      </c>
      <c r="P58" s="26">
        <f t="shared" si="23"/>
        <v>1.3651870970686544</v>
      </c>
      <c r="Q58" s="27">
        <f t="shared" si="1"/>
        <v>1.7982806386855632</v>
      </c>
      <c r="R58" s="27">
        <f t="shared" si="2"/>
        <v>2.1626795608084253</v>
      </c>
      <c r="S58" s="27">
        <f t="shared" si="3"/>
        <v>2.25</v>
      </c>
      <c r="T58" s="28">
        <f t="shared" si="4"/>
        <v>2.25</v>
      </c>
      <c r="U58" s="35">
        <f t="shared" si="9"/>
        <v>32.550000000000004</v>
      </c>
      <c r="V58" s="26">
        <f t="shared" si="29"/>
        <v>47.781548397402908</v>
      </c>
      <c r="W58" s="27">
        <f t="shared" si="30"/>
        <v>62.939822353994714</v>
      </c>
      <c r="X58" s="27">
        <f t="shared" si="31"/>
        <v>75.693784628294878</v>
      </c>
      <c r="Y58" s="27">
        <f t="shared" si="32"/>
        <v>78.75</v>
      </c>
      <c r="Z58" s="28">
        <f t="shared" si="33"/>
        <v>78.75</v>
      </c>
    </row>
    <row r="59" spans="1:26" x14ac:dyDescent="0.35">
      <c r="A59" s="21">
        <v>4</v>
      </c>
      <c r="B59" s="22">
        <v>10</v>
      </c>
      <c r="C59" s="62">
        <v>0.94</v>
      </c>
      <c r="D59" s="39">
        <v>0.92921927375040059</v>
      </c>
      <c r="E59" s="40">
        <v>0.93261884772229364</v>
      </c>
      <c r="F59" s="40">
        <v>0.898989820243972</v>
      </c>
      <c r="G59" s="40">
        <v>0.86557343470300618</v>
      </c>
      <c r="H59" s="41">
        <v>0.72542017097661027</v>
      </c>
      <c r="I59" s="40"/>
      <c r="J59" s="23">
        <v>0.504</v>
      </c>
      <c r="K59" s="24">
        <v>0.68400000000000005</v>
      </c>
      <c r="L59" s="24">
        <v>0.79400000000000004</v>
      </c>
      <c r="M59" s="24">
        <v>0.85699999999999998</v>
      </c>
      <c r="N59" s="25">
        <v>0.77300000000000002</v>
      </c>
      <c r="O59" s="35">
        <f t="shared" si="22"/>
        <v>0.94</v>
      </c>
      <c r="P59" s="26">
        <f t="shared" si="23"/>
        <v>1.3938289106256008</v>
      </c>
      <c r="Q59" s="27">
        <f t="shared" si="1"/>
        <v>1.8652376954445873</v>
      </c>
      <c r="R59" s="27">
        <f t="shared" si="2"/>
        <v>2.2474745506099301</v>
      </c>
      <c r="S59" s="27">
        <f t="shared" si="3"/>
        <v>2.5</v>
      </c>
      <c r="T59" s="28">
        <f t="shared" si="4"/>
        <v>2.5</v>
      </c>
      <c r="U59" s="35">
        <f t="shared" si="9"/>
        <v>32.899999999999991</v>
      </c>
      <c r="V59" s="26">
        <f t="shared" si="29"/>
        <v>48.784011871896027</v>
      </c>
      <c r="W59" s="27">
        <f t="shared" si="30"/>
        <v>65.283319340560553</v>
      </c>
      <c r="X59" s="27">
        <f t="shared" si="31"/>
        <v>78.661609271347558</v>
      </c>
      <c r="Y59" s="27">
        <f t="shared" si="32"/>
        <v>87.5</v>
      </c>
      <c r="Z59" s="28">
        <f t="shared" si="33"/>
        <v>87.5</v>
      </c>
    </row>
    <row r="60" spans="1:26" x14ac:dyDescent="0.35">
      <c r="A60" s="21">
        <v>4</v>
      </c>
      <c r="B60" s="22">
        <v>11</v>
      </c>
      <c r="C60" s="62">
        <v>0.95</v>
      </c>
      <c r="D60" s="39">
        <v>0.94301506860168616</v>
      </c>
      <c r="E60" s="40">
        <v>0.95061308610620354</v>
      </c>
      <c r="F60" s="40">
        <v>0.92350371415279497</v>
      </c>
      <c r="G60" s="40">
        <v>0.90246446105696021</v>
      </c>
      <c r="H60" s="41">
        <v>0.74610565587328259</v>
      </c>
      <c r="I60" s="40"/>
      <c r="J60" s="23">
        <v>0.52300000000000002</v>
      </c>
      <c r="K60" s="24">
        <v>0.66600000000000004</v>
      </c>
      <c r="L60" s="24">
        <v>0.73099999999999998</v>
      </c>
      <c r="M60" s="24">
        <v>0.82599999999999996</v>
      </c>
      <c r="N60" s="25">
        <v>0.72199999999999998</v>
      </c>
      <c r="O60" s="35">
        <f t="shared" si="22"/>
        <v>0.95</v>
      </c>
      <c r="P60" s="26">
        <f t="shared" si="23"/>
        <v>1.4145226029025293</v>
      </c>
      <c r="Q60" s="27">
        <f t="shared" si="1"/>
        <v>1.9012261722124071</v>
      </c>
      <c r="R60" s="27">
        <f t="shared" si="2"/>
        <v>2.3087592853819876</v>
      </c>
      <c r="S60" s="27">
        <f t="shared" si="3"/>
        <v>2.7073933831708805</v>
      </c>
      <c r="T60" s="28">
        <f t="shared" si="4"/>
        <v>2.611369795556489</v>
      </c>
      <c r="U60" s="35">
        <f t="shared" si="9"/>
        <v>33.25</v>
      </c>
      <c r="V60" s="26">
        <f t="shared" si="29"/>
        <v>49.508291101588533</v>
      </c>
      <c r="W60" s="27">
        <f t="shared" si="30"/>
        <v>66.542916027434245</v>
      </c>
      <c r="X60" s="27">
        <f t="shared" si="31"/>
        <v>80.806574988369562</v>
      </c>
      <c r="Y60" s="27">
        <f t="shared" si="32"/>
        <v>94.758768410980821</v>
      </c>
      <c r="Z60" s="28">
        <f t="shared" si="33"/>
        <v>91.397942844477114</v>
      </c>
    </row>
    <row r="61" spans="1:26" x14ac:dyDescent="0.35">
      <c r="A61" s="18">
        <v>4</v>
      </c>
      <c r="B61" s="20">
        <v>12</v>
      </c>
      <c r="C61" s="63">
        <v>0.98</v>
      </c>
      <c r="D61" s="42">
        <v>0.94881999333493661</v>
      </c>
      <c r="E61" s="43">
        <v>0.97453164395795711</v>
      </c>
      <c r="F61" s="43">
        <v>0.94926191202837373</v>
      </c>
      <c r="G61" s="43">
        <v>0.9235423849646297</v>
      </c>
      <c r="H61" s="44">
        <v>0.76350433688387476</v>
      </c>
      <c r="I61" s="43"/>
      <c r="J61" s="29">
        <v>0.49099999999999999</v>
      </c>
      <c r="K61" s="30">
        <v>0.60299999999999998</v>
      </c>
      <c r="L61" s="30">
        <v>0.70299999999999996</v>
      </c>
      <c r="M61" s="30">
        <v>0.77300000000000002</v>
      </c>
      <c r="N61" s="31">
        <v>0.70299999999999996</v>
      </c>
      <c r="O61" s="35">
        <f t="shared" si="22"/>
        <v>0.98</v>
      </c>
      <c r="P61" s="32">
        <f t="shared" si="23"/>
        <v>1.423229990002405</v>
      </c>
      <c r="Q61" s="33">
        <f t="shared" si="1"/>
        <v>1.9490632879159142</v>
      </c>
      <c r="R61" s="33">
        <f t="shared" si="2"/>
        <v>2.3731547800709345</v>
      </c>
      <c r="S61" s="33">
        <f t="shared" si="3"/>
        <v>2.770627154893889</v>
      </c>
      <c r="T61" s="34">
        <f t="shared" si="4"/>
        <v>2.6722651790935616</v>
      </c>
      <c r="U61" s="35">
        <f t="shared" si="9"/>
        <v>34.299999999999997</v>
      </c>
      <c r="V61" s="32">
        <f t="shared" si="29"/>
        <v>49.813049650084167</v>
      </c>
      <c r="W61" s="33">
        <f t="shared" si="30"/>
        <v>68.217215077057006</v>
      </c>
      <c r="X61" s="33">
        <f t="shared" si="31"/>
        <v>83.060417302482705</v>
      </c>
      <c r="Y61" s="33">
        <f t="shared" si="32"/>
        <v>96.97195042128611</v>
      </c>
      <c r="Z61" s="34">
        <f t="shared" si="33"/>
        <v>93.529281268274644</v>
      </c>
    </row>
    <row r="62" spans="1:26" x14ac:dyDescent="0.35">
      <c r="A62" s="21">
        <v>5</v>
      </c>
      <c r="B62" s="22">
        <v>0</v>
      </c>
      <c r="C62" s="62">
        <v>0</v>
      </c>
      <c r="D62" s="52">
        <v>0</v>
      </c>
      <c r="E62" s="53">
        <v>0</v>
      </c>
      <c r="F62" s="53">
        <v>0</v>
      </c>
      <c r="G62" s="53">
        <v>0</v>
      </c>
      <c r="H62" s="54">
        <v>0</v>
      </c>
      <c r="I62" s="53"/>
      <c r="J62" s="55">
        <v>0</v>
      </c>
      <c r="K62" s="56">
        <v>0</v>
      </c>
      <c r="L62" s="56">
        <v>0</v>
      </c>
      <c r="M62" s="56">
        <v>0</v>
      </c>
      <c r="N62" s="57">
        <v>0</v>
      </c>
      <c r="O62" s="35">
        <f t="shared" si="22"/>
        <v>0</v>
      </c>
      <c r="P62" s="35">
        <f t="shared" si="23"/>
        <v>0</v>
      </c>
      <c r="Q62" s="36">
        <f t="shared" si="1"/>
        <v>0</v>
      </c>
      <c r="R62" s="36">
        <f t="shared" si="2"/>
        <v>0</v>
      </c>
      <c r="S62" s="36">
        <f t="shared" si="3"/>
        <v>0</v>
      </c>
      <c r="T62" s="37">
        <f t="shared" si="4"/>
        <v>0</v>
      </c>
      <c r="U62" s="35">
        <f t="shared" si="9"/>
        <v>0</v>
      </c>
      <c r="V62" s="35">
        <f t="shared" si="29"/>
        <v>0</v>
      </c>
      <c r="W62" s="36">
        <f t="shared" si="30"/>
        <v>0</v>
      </c>
      <c r="X62" s="36">
        <f t="shared" si="31"/>
        <v>0</v>
      </c>
      <c r="Y62" s="36">
        <f t="shared" si="32"/>
        <v>0</v>
      </c>
      <c r="Z62" s="37">
        <f t="shared" si="33"/>
        <v>0</v>
      </c>
    </row>
    <row r="63" spans="1:26" x14ac:dyDescent="0.35">
      <c r="A63" s="21">
        <v>5</v>
      </c>
      <c r="B63" s="22">
        <v>1</v>
      </c>
      <c r="C63" s="62">
        <v>0.18</v>
      </c>
      <c r="D63" s="39">
        <v>0.15200619074211336</v>
      </c>
      <c r="E63" s="40">
        <v>0.12151554726857472</v>
      </c>
      <c r="F63" s="40">
        <v>0.10564311898568814</v>
      </c>
      <c r="G63" s="40">
        <v>9.3600312840167538E-2</v>
      </c>
      <c r="H63" s="41">
        <v>8.2212701225455931E-2</v>
      </c>
      <c r="I63" s="40"/>
      <c r="J63" s="23">
        <v>0.9</v>
      </c>
      <c r="K63" s="24">
        <v>0.96699999999999997</v>
      </c>
      <c r="L63" s="24">
        <v>0.98799999999999999</v>
      </c>
      <c r="M63" s="24">
        <v>0.99399999999999999</v>
      </c>
      <c r="N63" s="25">
        <v>0.997</v>
      </c>
      <c r="O63" s="35">
        <f t="shared" si="22"/>
        <v>0.18</v>
      </c>
      <c r="P63" s="26">
        <f t="shared" si="23"/>
        <v>0.2</v>
      </c>
      <c r="Q63" s="27">
        <f t="shared" si="1"/>
        <v>0.2</v>
      </c>
      <c r="R63" s="27">
        <f t="shared" si="2"/>
        <v>0.2</v>
      </c>
      <c r="S63" s="27">
        <f t="shared" si="3"/>
        <v>0.2</v>
      </c>
      <c r="T63" s="28">
        <f t="shared" si="4"/>
        <v>0.2</v>
      </c>
      <c r="U63" s="35">
        <f t="shared" si="9"/>
        <v>7.8749999999999982</v>
      </c>
      <c r="V63" s="26">
        <f t="shared" si="29"/>
        <v>8.75</v>
      </c>
      <c r="W63" s="27">
        <f t="shared" si="30"/>
        <v>8.75</v>
      </c>
      <c r="X63" s="27">
        <f t="shared" si="31"/>
        <v>8.75</v>
      </c>
      <c r="Y63" s="27">
        <f t="shared" si="32"/>
        <v>8.75</v>
      </c>
      <c r="Z63" s="28">
        <f t="shared" si="33"/>
        <v>8.75</v>
      </c>
    </row>
    <row r="64" spans="1:26" x14ac:dyDescent="0.35">
      <c r="A64" s="21">
        <v>5</v>
      </c>
      <c r="B64" s="22">
        <v>2</v>
      </c>
      <c r="C64" s="62">
        <v>0.33</v>
      </c>
      <c r="D64" s="39">
        <v>0.29099982660440943</v>
      </c>
      <c r="E64" s="40">
        <v>0.23969526253268814</v>
      </c>
      <c r="F64" s="40">
        <v>0.20875824011787861</v>
      </c>
      <c r="G64" s="40">
        <v>0.18321506709765545</v>
      </c>
      <c r="H64" s="41">
        <v>0.16182754668929636</v>
      </c>
      <c r="I64" s="40"/>
      <c r="J64" s="23">
        <v>0.89</v>
      </c>
      <c r="K64" s="24">
        <v>0.97399999999999998</v>
      </c>
      <c r="L64" s="24">
        <v>0.99</v>
      </c>
      <c r="M64" s="24">
        <v>0.998</v>
      </c>
      <c r="N64" s="25">
        <v>0.999</v>
      </c>
      <c r="O64" s="35">
        <f t="shared" si="22"/>
        <v>0.33</v>
      </c>
      <c r="P64" s="26">
        <f t="shared" si="23"/>
        <v>0.4</v>
      </c>
      <c r="Q64" s="27">
        <f t="shared" si="1"/>
        <v>0.4</v>
      </c>
      <c r="R64" s="27">
        <f t="shared" si="2"/>
        <v>0.4</v>
      </c>
      <c r="S64" s="27">
        <f t="shared" si="3"/>
        <v>0.4</v>
      </c>
      <c r="T64" s="28">
        <f t="shared" si="4"/>
        <v>0.4</v>
      </c>
      <c r="U64" s="35">
        <f t="shared" si="9"/>
        <v>14.437500000000002</v>
      </c>
      <c r="V64" s="26">
        <f t="shared" si="29"/>
        <v>17.5</v>
      </c>
      <c r="W64" s="27">
        <f t="shared" si="30"/>
        <v>17.5</v>
      </c>
      <c r="X64" s="27">
        <f t="shared" si="31"/>
        <v>17.5</v>
      </c>
      <c r="Y64" s="27">
        <f t="shared" si="32"/>
        <v>17.5</v>
      </c>
      <c r="Z64" s="28">
        <f t="shared" si="33"/>
        <v>17.5</v>
      </c>
    </row>
    <row r="65" spans="1:26" x14ac:dyDescent="0.35">
      <c r="A65" s="21">
        <v>5</v>
      </c>
      <c r="B65" s="22">
        <v>3</v>
      </c>
      <c r="C65" s="62">
        <v>0.51</v>
      </c>
      <c r="D65" s="39">
        <v>0.42585431716835914</v>
      </c>
      <c r="E65" s="40">
        <v>0.35001054095398842</v>
      </c>
      <c r="F65" s="40">
        <v>0.31091228806988064</v>
      </c>
      <c r="G65" s="40">
        <v>0.26883025203297201</v>
      </c>
      <c r="H65" s="41">
        <v>0.23838446823439852</v>
      </c>
      <c r="I65" s="40"/>
      <c r="J65" s="23">
        <v>0.88400000000000001</v>
      </c>
      <c r="K65" s="24">
        <v>0.96299999999999997</v>
      </c>
      <c r="L65" s="24">
        <v>0.99099999999999999</v>
      </c>
      <c r="M65" s="24">
        <v>0.995</v>
      </c>
      <c r="N65" s="25">
        <v>0.998</v>
      </c>
      <c r="O65" s="35">
        <f t="shared" si="22"/>
        <v>0.51</v>
      </c>
      <c r="P65" s="26">
        <f t="shared" si="23"/>
        <v>0.6</v>
      </c>
      <c r="Q65" s="27">
        <f t="shared" si="1"/>
        <v>0.6</v>
      </c>
      <c r="R65" s="27">
        <f t="shared" si="2"/>
        <v>0.6</v>
      </c>
      <c r="S65" s="27">
        <f t="shared" si="3"/>
        <v>0.6</v>
      </c>
      <c r="T65" s="28">
        <f t="shared" si="4"/>
        <v>0.6</v>
      </c>
      <c r="U65" s="35">
        <f t="shared" si="9"/>
        <v>22.312499999999996</v>
      </c>
      <c r="V65" s="26">
        <f t="shared" si="29"/>
        <v>26.25</v>
      </c>
      <c r="W65" s="27">
        <f t="shared" si="30"/>
        <v>26.25</v>
      </c>
      <c r="X65" s="27">
        <f t="shared" si="31"/>
        <v>26.25</v>
      </c>
      <c r="Y65" s="27">
        <f t="shared" si="32"/>
        <v>26.25</v>
      </c>
      <c r="Z65" s="28">
        <f t="shared" si="33"/>
        <v>26.25</v>
      </c>
    </row>
    <row r="66" spans="1:26" x14ac:dyDescent="0.35">
      <c r="A66" s="21">
        <v>5</v>
      </c>
      <c r="B66" s="22">
        <v>4</v>
      </c>
      <c r="C66" s="62">
        <v>0.6</v>
      </c>
      <c r="D66" s="39">
        <v>0.53701710069000974</v>
      </c>
      <c r="E66" s="40">
        <v>0.45360757365599991</v>
      </c>
      <c r="F66" s="40">
        <v>0.40593331774214286</v>
      </c>
      <c r="G66" s="40">
        <v>0.35217100559660647</v>
      </c>
      <c r="H66" s="41">
        <v>0.31855064638115926</v>
      </c>
      <c r="I66" s="40"/>
      <c r="J66" s="23">
        <v>0.85199999999999998</v>
      </c>
      <c r="K66" s="24">
        <v>0.95299999999999996</v>
      </c>
      <c r="L66" s="24">
        <v>0.98399999999999999</v>
      </c>
      <c r="M66" s="24">
        <v>0.99</v>
      </c>
      <c r="N66" s="25">
        <v>0.998</v>
      </c>
      <c r="O66" s="35">
        <f t="shared" si="22"/>
        <v>0.6</v>
      </c>
      <c r="P66" s="26">
        <f t="shared" si="23"/>
        <v>0.8</v>
      </c>
      <c r="Q66" s="27">
        <f t="shared" si="1"/>
        <v>0.8</v>
      </c>
      <c r="R66" s="27">
        <f t="shared" si="2"/>
        <v>0.8</v>
      </c>
      <c r="S66" s="27">
        <f t="shared" si="3"/>
        <v>0.8</v>
      </c>
      <c r="T66" s="28">
        <f t="shared" si="4"/>
        <v>0.8</v>
      </c>
      <c r="U66" s="35">
        <f t="shared" si="9"/>
        <v>26.25</v>
      </c>
      <c r="V66" s="26">
        <f t="shared" si="29"/>
        <v>35</v>
      </c>
      <c r="W66" s="27">
        <f t="shared" si="30"/>
        <v>35</v>
      </c>
      <c r="X66" s="27">
        <f t="shared" si="31"/>
        <v>35</v>
      </c>
      <c r="Y66" s="27">
        <f t="shared" si="32"/>
        <v>35</v>
      </c>
      <c r="Z66" s="28">
        <f t="shared" si="33"/>
        <v>35</v>
      </c>
    </row>
    <row r="67" spans="1:26" x14ac:dyDescent="0.35">
      <c r="A67" s="21">
        <v>5</v>
      </c>
      <c r="B67" s="22">
        <v>5</v>
      </c>
      <c r="C67" s="62">
        <v>0.7</v>
      </c>
      <c r="D67" s="39">
        <v>0.62701354855820102</v>
      </c>
      <c r="E67" s="40">
        <v>0.55066931820104115</v>
      </c>
      <c r="F67" s="40">
        <v>0.49256864248874688</v>
      </c>
      <c r="G67" s="40">
        <v>0.43064013708044285</v>
      </c>
      <c r="H67" s="41">
        <v>0.38684870445310343</v>
      </c>
      <c r="I67" s="40"/>
      <c r="J67" s="23">
        <v>0.85199999999999998</v>
      </c>
      <c r="K67" s="24">
        <v>0.94699999999999995</v>
      </c>
      <c r="L67" s="24">
        <v>0.98699999999999999</v>
      </c>
      <c r="M67" s="24">
        <v>0.99199999999999999</v>
      </c>
      <c r="N67" s="25">
        <v>0.997</v>
      </c>
      <c r="O67" s="35">
        <f t="shared" si="22"/>
        <v>0.7</v>
      </c>
      <c r="P67" s="26">
        <f t="shared" si="23"/>
        <v>0.94052032283730158</v>
      </c>
      <c r="Q67" s="27">
        <f t="shared" si="1"/>
        <v>1</v>
      </c>
      <c r="R67" s="27">
        <f t="shared" si="2"/>
        <v>1</v>
      </c>
      <c r="S67" s="27">
        <f t="shared" si="3"/>
        <v>1</v>
      </c>
      <c r="T67" s="28">
        <f t="shared" si="4"/>
        <v>1</v>
      </c>
      <c r="U67" s="35">
        <f t="shared" si="9"/>
        <v>30.625000000000004</v>
      </c>
      <c r="V67" s="26">
        <f t="shared" si="29"/>
        <v>41.147764124131939</v>
      </c>
      <c r="W67" s="27">
        <f t="shared" si="30"/>
        <v>43.75</v>
      </c>
      <c r="X67" s="27">
        <f t="shared" si="31"/>
        <v>43.75</v>
      </c>
      <c r="Y67" s="27">
        <f t="shared" si="32"/>
        <v>43.75</v>
      </c>
      <c r="Z67" s="28">
        <f t="shared" si="33"/>
        <v>43.75</v>
      </c>
    </row>
    <row r="68" spans="1:26" x14ac:dyDescent="0.35">
      <c r="A68" s="21">
        <v>5</v>
      </c>
      <c r="B68" s="22">
        <v>6</v>
      </c>
      <c r="C68" s="62">
        <v>0.77</v>
      </c>
      <c r="D68" s="39">
        <v>0.70614468344786208</v>
      </c>
      <c r="E68" s="40">
        <v>0.63830234482942461</v>
      </c>
      <c r="F68" s="40">
        <v>0.58098348480688089</v>
      </c>
      <c r="G68" s="40">
        <v>0.51328742842007313</v>
      </c>
      <c r="H68" s="41">
        <v>0.45902696030364903</v>
      </c>
      <c r="I68" s="40"/>
      <c r="J68" s="23">
        <v>0.81899999999999995</v>
      </c>
      <c r="K68" s="24">
        <v>0.94199999999999995</v>
      </c>
      <c r="L68" s="24">
        <v>0.96899999999999997</v>
      </c>
      <c r="M68" s="24">
        <v>0.996</v>
      </c>
      <c r="N68" s="25">
        <v>0.99399999999999999</v>
      </c>
      <c r="O68" s="35">
        <f t="shared" si="22"/>
        <v>0.77</v>
      </c>
      <c r="P68" s="26">
        <f t="shared" si="23"/>
        <v>1.0592170251717932</v>
      </c>
      <c r="Q68" s="27">
        <f t="shared" si="1"/>
        <v>1.2</v>
      </c>
      <c r="R68" s="27">
        <f t="shared" si="2"/>
        <v>1.2</v>
      </c>
      <c r="S68" s="27">
        <f t="shared" si="3"/>
        <v>1.2</v>
      </c>
      <c r="T68" s="28">
        <f t="shared" si="4"/>
        <v>1.2</v>
      </c>
      <c r="U68" s="35">
        <f t="shared" si="9"/>
        <v>33.6875</v>
      </c>
      <c r="V68" s="26">
        <f t="shared" si="29"/>
        <v>46.340744851265953</v>
      </c>
      <c r="W68" s="27">
        <f t="shared" si="30"/>
        <v>52.5</v>
      </c>
      <c r="X68" s="27">
        <f t="shared" si="31"/>
        <v>52.5</v>
      </c>
      <c r="Y68" s="27">
        <f t="shared" si="32"/>
        <v>52.5</v>
      </c>
      <c r="Z68" s="28">
        <f t="shared" si="33"/>
        <v>52.5</v>
      </c>
    </row>
    <row r="69" spans="1:26" x14ac:dyDescent="0.35">
      <c r="A69" s="21">
        <v>5</v>
      </c>
      <c r="B69" s="22">
        <v>7</v>
      </c>
      <c r="C69" s="62">
        <v>0.8</v>
      </c>
      <c r="D69" s="39">
        <v>0.76767035913368054</v>
      </c>
      <c r="E69" s="40">
        <v>0.70826444062475746</v>
      </c>
      <c r="F69" s="40">
        <v>0.65017273303871903</v>
      </c>
      <c r="G69" s="40">
        <v>0.58297214142464981</v>
      </c>
      <c r="H69" s="41">
        <v>0.52276229531566309</v>
      </c>
      <c r="I69" s="40"/>
      <c r="J69" s="23">
        <v>0.73899999999999999</v>
      </c>
      <c r="K69" s="24">
        <v>0.90900000000000003</v>
      </c>
      <c r="L69" s="24">
        <v>0.96899999999999997</v>
      </c>
      <c r="M69" s="24">
        <v>0.98299999999999998</v>
      </c>
      <c r="N69" s="25">
        <v>0.997</v>
      </c>
      <c r="O69" s="35">
        <f t="shared" si="22"/>
        <v>0.8</v>
      </c>
      <c r="P69" s="26">
        <f t="shared" si="23"/>
        <v>1.1515055387005209</v>
      </c>
      <c r="Q69" s="27">
        <f t="shared" si="1"/>
        <v>1.4</v>
      </c>
      <c r="R69" s="27">
        <f t="shared" si="2"/>
        <v>1.4</v>
      </c>
      <c r="S69" s="27">
        <f t="shared" si="3"/>
        <v>1.4</v>
      </c>
      <c r="T69" s="28">
        <f t="shared" si="4"/>
        <v>1.4</v>
      </c>
      <c r="U69" s="35">
        <f t="shared" si="9"/>
        <v>35</v>
      </c>
      <c r="V69" s="26">
        <f t="shared" si="29"/>
        <v>50.378367318147781</v>
      </c>
      <c r="W69" s="27">
        <f t="shared" si="30"/>
        <v>61.250000000000007</v>
      </c>
      <c r="X69" s="27">
        <f t="shared" si="31"/>
        <v>61.250000000000007</v>
      </c>
      <c r="Y69" s="27">
        <f t="shared" si="32"/>
        <v>61.250000000000007</v>
      </c>
      <c r="Z69" s="28">
        <f t="shared" si="33"/>
        <v>61.250000000000007</v>
      </c>
    </row>
    <row r="70" spans="1:26" x14ac:dyDescent="0.35">
      <c r="A70" s="21">
        <v>5</v>
      </c>
      <c r="B70" s="22">
        <v>8</v>
      </c>
      <c r="C70" s="62">
        <v>0.85</v>
      </c>
      <c r="D70" s="39">
        <v>0.80779336890528053</v>
      </c>
      <c r="E70" s="40">
        <v>0.7688292773810208</v>
      </c>
      <c r="F70" s="40">
        <v>0.71122745970402446</v>
      </c>
      <c r="G70" s="40">
        <v>0.65163604487366045</v>
      </c>
      <c r="H70" s="41">
        <v>0.59237965235599288</v>
      </c>
      <c r="I70" s="40"/>
      <c r="J70" s="23">
        <v>0.73399999999999999</v>
      </c>
      <c r="K70" s="24">
        <v>0.86499999999999999</v>
      </c>
      <c r="L70" s="24">
        <v>0.95099999999999996</v>
      </c>
      <c r="M70" s="24">
        <v>0.97899999999999998</v>
      </c>
      <c r="N70" s="25">
        <v>0.99299999999999999</v>
      </c>
      <c r="O70" s="35">
        <f t="shared" si="22"/>
        <v>0.85</v>
      </c>
      <c r="P70" s="26">
        <f t="shared" si="23"/>
        <v>1.2116900533579207</v>
      </c>
      <c r="Q70" s="27">
        <f t="shared" si="1"/>
        <v>1.5376585547620416</v>
      </c>
      <c r="R70" s="27">
        <f t="shared" si="2"/>
        <v>1.6</v>
      </c>
      <c r="S70" s="27">
        <f t="shared" si="3"/>
        <v>1.6</v>
      </c>
      <c r="T70" s="28">
        <f t="shared" si="4"/>
        <v>1.6</v>
      </c>
      <c r="U70" s="35">
        <f t="shared" si="9"/>
        <v>37.1875</v>
      </c>
      <c r="V70" s="26">
        <f t="shared" si="29"/>
        <v>53.011439834409032</v>
      </c>
      <c r="W70" s="27">
        <f t="shared" si="30"/>
        <v>67.272561770839303</v>
      </c>
      <c r="X70" s="27">
        <f t="shared" si="31"/>
        <v>70</v>
      </c>
      <c r="Y70" s="27">
        <f t="shared" si="32"/>
        <v>70</v>
      </c>
      <c r="Z70" s="28">
        <f t="shared" si="33"/>
        <v>70</v>
      </c>
    </row>
    <row r="71" spans="1:26" x14ac:dyDescent="0.35">
      <c r="A71" s="21">
        <v>5</v>
      </c>
      <c r="B71" s="22">
        <v>9</v>
      </c>
      <c r="C71" s="62">
        <v>0.87</v>
      </c>
      <c r="D71" s="39">
        <v>0.84418540606620884</v>
      </c>
      <c r="E71" s="40">
        <v>0.81442552549189984</v>
      </c>
      <c r="F71" s="40">
        <v>0.76712558006709564</v>
      </c>
      <c r="G71" s="40">
        <v>0.71162381313881451</v>
      </c>
      <c r="H71" s="41">
        <v>0.64970506391804694</v>
      </c>
      <c r="I71" s="40"/>
      <c r="J71" s="23">
        <v>0.66900000000000004</v>
      </c>
      <c r="K71" s="24">
        <v>0.84399999999999997</v>
      </c>
      <c r="L71" s="24">
        <v>0.91900000000000004</v>
      </c>
      <c r="M71" s="24">
        <v>0.95599999999999996</v>
      </c>
      <c r="N71" s="25">
        <v>0.98699999999999999</v>
      </c>
      <c r="O71" s="35">
        <f t="shared" si="22"/>
        <v>0.87</v>
      </c>
      <c r="P71" s="26">
        <f t="shared" si="23"/>
        <v>1.2662781090993134</v>
      </c>
      <c r="Q71" s="27">
        <f t="shared" si="1"/>
        <v>1.6288510509837997</v>
      </c>
      <c r="R71" s="27">
        <f t="shared" si="2"/>
        <v>1.8</v>
      </c>
      <c r="S71" s="27">
        <f t="shared" si="3"/>
        <v>1.8</v>
      </c>
      <c r="T71" s="28">
        <f t="shared" si="4"/>
        <v>1.8</v>
      </c>
      <c r="U71" s="35">
        <f t="shared" si="9"/>
        <v>38.0625</v>
      </c>
      <c r="V71" s="26">
        <f t="shared" si="29"/>
        <v>55.399667273094956</v>
      </c>
      <c r="W71" s="27">
        <f t="shared" si="30"/>
        <v>71.262233480541255</v>
      </c>
      <c r="X71" s="27">
        <f t="shared" si="31"/>
        <v>78.75</v>
      </c>
      <c r="Y71" s="27">
        <f t="shared" si="32"/>
        <v>78.75</v>
      </c>
      <c r="Z71" s="28">
        <f t="shared" si="33"/>
        <v>78.75</v>
      </c>
    </row>
    <row r="72" spans="1:26" x14ac:dyDescent="0.35">
      <c r="A72" s="21">
        <v>5</v>
      </c>
      <c r="B72" s="22">
        <v>10</v>
      </c>
      <c r="C72" s="62">
        <v>0.9</v>
      </c>
      <c r="D72" s="39">
        <v>0.87201448749880639</v>
      </c>
      <c r="E72" s="40">
        <v>0.85360534554266487</v>
      </c>
      <c r="F72" s="40">
        <v>0.81244403920941288</v>
      </c>
      <c r="G72" s="40">
        <v>0.76620360661693998</v>
      </c>
      <c r="H72" s="41">
        <v>0.69905218020529203</v>
      </c>
      <c r="I72" s="40"/>
      <c r="J72" s="23">
        <v>0.64600000000000002</v>
      </c>
      <c r="K72" s="24">
        <v>0.82</v>
      </c>
      <c r="L72" s="24">
        <v>0.879</v>
      </c>
      <c r="M72" s="24">
        <v>0.93500000000000005</v>
      </c>
      <c r="N72" s="25">
        <v>0.98499999999999999</v>
      </c>
      <c r="O72" s="35">
        <f t="shared" si="22"/>
        <v>0.9</v>
      </c>
      <c r="P72" s="26">
        <f t="shared" si="23"/>
        <v>1.3080217312482096</v>
      </c>
      <c r="Q72" s="27">
        <f t="shared" si="1"/>
        <v>1.7072106910853297</v>
      </c>
      <c r="R72" s="27">
        <f t="shared" si="2"/>
        <v>2</v>
      </c>
      <c r="S72" s="27">
        <f t="shared" si="3"/>
        <v>2</v>
      </c>
      <c r="T72" s="28">
        <f t="shared" si="4"/>
        <v>2</v>
      </c>
      <c r="U72" s="35">
        <f t="shared" si="9"/>
        <v>39.375</v>
      </c>
      <c r="V72" s="26">
        <f t="shared" si="29"/>
        <v>57.225950742109177</v>
      </c>
      <c r="W72" s="27">
        <f t="shared" si="30"/>
        <v>74.690467734983173</v>
      </c>
      <c r="X72" s="27">
        <f t="shared" si="31"/>
        <v>87.5</v>
      </c>
      <c r="Y72" s="27">
        <f t="shared" si="32"/>
        <v>87.5</v>
      </c>
      <c r="Z72" s="28">
        <f t="shared" si="33"/>
        <v>87.5</v>
      </c>
    </row>
    <row r="73" spans="1:26" x14ac:dyDescent="0.35">
      <c r="A73" s="21">
        <v>5</v>
      </c>
      <c r="B73" s="22">
        <v>11</v>
      </c>
      <c r="C73" s="62">
        <v>0.9</v>
      </c>
      <c r="D73" s="39">
        <v>0.89029121638431274</v>
      </c>
      <c r="E73" s="40">
        <v>0.88051358896938636</v>
      </c>
      <c r="F73" s="40">
        <v>0.8524851959103209</v>
      </c>
      <c r="G73" s="40">
        <v>0.80404730861190576</v>
      </c>
      <c r="H73" s="41">
        <v>0.74775502021446594</v>
      </c>
      <c r="I73" s="40"/>
      <c r="J73" s="23">
        <v>0.60899999999999999</v>
      </c>
      <c r="K73" s="24">
        <v>0.77700000000000002</v>
      </c>
      <c r="L73" s="24">
        <v>0.86099999999999999</v>
      </c>
      <c r="M73" s="24">
        <v>0.91600000000000004</v>
      </c>
      <c r="N73" s="25">
        <v>0.97199999999999998</v>
      </c>
      <c r="O73" s="35">
        <f t="shared" si="22"/>
        <v>0.9</v>
      </c>
      <c r="P73" s="26">
        <f t="shared" si="23"/>
        <v>1.3354368245764692</v>
      </c>
      <c r="Q73" s="27">
        <f t="shared" si="1"/>
        <v>1.7610271779387727</v>
      </c>
      <c r="R73" s="27">
        <f t="shared" si="2"/>
        <v>2.1312129897758023</v>
      </c>
      <c r="S73" s="27">
        <f t="shared" si="3"/>
        <v>2.2000000000000002</v>
      </c>
      <c r="T73" s="28">
        <f t="shared" si="4"/>
        <v>2.2000000000000002</v>
      </c>
      <c r="U73" s="35">
        <f t="shared" si="9"/>
        <v>39.375</v>
      </c>
      <c r="V73" s="26">
        <f t="shared" si="29"/>
        <v>58.425361075220529</v>
      </c>
      <c r="W73" s="27">
        <f t="shared" si="30"/>
        <v>77.044939034821311</v>
      </c>
      <c r="X73" s="27">
        <f t="shared" si="31"/>
        <v>93.240568302691344</v>
      </c>
      <c r="Y73" s="27">
        <f t="shared" si="32"/>
        <v>96.25</v>
      </c>
      <c r="Z73" s="28">
        <f t="shared" si="33"/>
        <v>96.25</v>
      </c>
    </row>
    <row r="74" spans="1:26" x14ac:dyDescent="0.35">
      <c r="A74" s="18">
        <v>5</v>
      </c>
      <c r="B74" s="20">
        <v>12</v>
      </c>
      <c r="C74" s="63">
        <v>0.93</v>
      </c>
      <c r="D74" s="42">
        <v>0.90914800539150886</v>
      </c>
      <c r="E74" s="43">
        <v>0.90837155156394367</v>
      </c>
      <c r="F74" s="43">
        <v>0.87534087509048775</v>
      </c>
      <c r="G74" s="43">
        <v>0.84300536464513998</v>
      </c>
      <c r="H74" s="44">
        <v>0.78649775951580836</v>
      </c>
      <c r="I74" s="43"/>
      <c r="J74" s="29">
        <v>0.57099999999999995</v>
      </c>
      <c r="K74" s="30">
        <v>0.73</v>
      </c>
      <c r="L74" s="30">
        <v>0.81599999999999995</v>
      </c>
      <c r="M74" s="30">
        <v>0.88700000000000001</v>
      </c>
      <c r="N74" s="31">
        <v>0.95299999999999996</v>
      </c>
      <c r="O74" s="35">
        <f t="shared" si="22"/>
        <v>0.93</v>
      </c>
      <c r="P74" s="32">
        <f t="shared" si="23"/>
        <v>1.3637220080872634</v>
      </c>
      <c r="Q74" s="33">
        <f t="shared" ref="Q74:Q87" si="34">IF((E74*Q$9*$A74)&gt;$B74,$B74/$A74,(E74*Q$9))</f>
        <v>1.8167431031278873</v>
      </c>
      <c r="R74" s="33">
        <f t="shared" ref="R74:R87" si="35">IF((F74*R$9*$A74)&gt;$B74,$B74/$A74,(F74*R$9))</f>
        <v>2.1883521877262195</v>
      </c>
      <c r="S74" s="33">
        <f t="shared" ref="S74:S87" si="36">IF((G74*S$9*$A74)&gt;$B74,$B74/$A74,(G74*S$9))</f>
        <v>2.4</v>
      </c>
      <c r="T74" s="34">
        <f t="shared" ref="T74:T87" si="37">IF((H74*T$9*$A74)&gt;$B74,$B74/$A74,(H74*T$9))</f>
        <v>2.4</v>
      </c>
      <c r="U74" s="35">
        <f t="shared" si="9"/>
        <v>40.687500000000007</v>
      </c>
      <c r="V74" s="32">
        <f t="shared" si="29"/>
        <v>59.662837853817777</v>
      </c>
      <c r="W74" s="33">
        <f t="shared" si="30"/>
        <v>79.482510761845077</v>
      </c>
      <c r="X74" s="33">
        <f t="shared" si="31"/>
        <v>95.740408213022121</v>
      </c>
      <c r="Y74" s="33">
        <f t="shared" si="32"/>
        <v>105</v>
      </c>
      <c r="Z74" s="34">
        <f t="shared" si="33"/>
        <v>105</v>
      </c>
    </row>
    <row r="75" spans="1:26" x14ac:dyDescent="0.35">
      <c r="A75" s="21">
        <v>6</v>
      </c>
      <c r="B75" s="22">
        <v>0</v>
      </c>
      <c r="C75" s="62">
        <v>0</v>
      </c>
      <c r="D75" s="52">
        <v>0</v>
      </c>
      <c r="E75" s="53">
        <v>0</v>
      </c>
      <c r="F75" s="53">
        <v>0</v>
      </c>
      <c r="G75" s="53">
        <v>0</v>
      </c>
      <c r="H75" s="54">
        <v>0</v>
      </c>
      <c r="I75" s="53"/>
      <c r="J75" s="55">
        <v>0</v>
      </c>
      <c r="K75" s="56">
        <v>0</v>
      </c>
      <c r="L75" s="56">
        <v>0</v>
      </c>
      <c r="M75" s="56">
        <v>0</v>
      </c>
      <c r="N75" s="57">
        <v>0</v>
      </c>
      <c r="O75" s="35">
        <f t="shared" si="22"/>
        <v>0</v>
      </c>
      <c r="P75" s="35">
        <f t="shared" si="23"/>
        <v>0</v>
      </c>
      <c r="Q75" s="36">
        <f t="shared" si="34"/>
        <v>0</v>
      </c>
      <c r="R75" s="36">
        <f t="shared" si="35"/>
        <v>0</v>
      </c>
      <c r="S75" s="36">
        <f t="shared" si="36"/>
        <v>0</v>
      </c>
      <c r="T75" s="37">
        <f t="shared" si="37"/>
        <v>0</v>
      </c>
      <c r="U75" s="35">
        <f t="shared" ref="U75:U87" si="38">(O75*$A75*$B$3)-(($B$4*$A75)+(O75*$B$5*$A75))</f>
        <v>0</v>
      </c>
      <c r="V75" s="35">
        <f t="shared" si="29"/>
        <v>0</v>
      </c>
      <c r="W75" s="36">
        <f t="shared" si="30"/>
        <v>0</v>
      </c>
      <c r="X75" s="36">
        <f t="shared" si="31"/>
        <v>0</v>
      </c>
      <c r="Y75" s="36">
        <f t="shared" si="32"/>
        <v>0</v>
      </c>
      <c r="Z75" s="37">
        <f t="shared" si="33"/>
        <v>0</v>
      </c>
    </row>
    <row r="76" spans="1:26" x14ac:dyDescent="0.35">
      <c r="A76" s="21">
        <v>6</v>
      </c>
      <c r="B76" s="22">
        <v>1</v>
      </c>
      <c r="C76" s="62">
        <v>0.16</v>
      </c>
      <c r="D76" s="39">
        <v>0.12682130514766779</v>
      </c>
      <c r="E76" s="40">
        <v>9.9877461882173044E-2</v>
      </c>
      <c r="F76" s="40">
        <v>8.9149529067078043E-2</v>
      </c>
      <c r="G76" s="40">
        <v>7.6882690678465287E-2</v>
      </c>
      <c r="H76" s="41">
        <v>6.8249951747278534E-2</v>
      </c>
      <c r="I76" s="40"/>
      <c r="J76" s="23">
        <v>0.88300000000000001</v>
      </c>
      <c r="K76" s="24">
        <v>0.96799999999999997</v>
      </c>
      <c r="L76" s="24">
        <v>0.99099999999999999</v>
      </c>
      <c r="M76" s="24">
        <v>0.99199999999999999</v>
      </c>
      <c r="N76" s="25">
        <v>0.997</v>
      </c>
      <c r="O76" s="35">
        <f t="shared" si="22"/>
        <v>0.16</v>
      </c>
      <c r="P76" s="26">
        <f t="shared" si="23"/>
        <v>0.16666666666666666</v>
      </c>
      <c r="Q76" s="27">
        <f t="shared" si="34"/>
        <v>0.16666666666666666</v>
      </c>
      <c r="R76" s="27">
        <f t="shared" si="35"/>
        <v>0.16666666666666666</v>
      </c>
      <c r="S76" s="27">
        <f t="shared" si="36"/>
        <v>0.16666666666666666</v>
      </c>
      <c r="T76" s="28">
        <f t="shared" si="37"/>
        <v>0.16666666666666666</v>
      </c>
      <c r="U76" s="35">
        <f t="shared" si="38"/>
        <v>8.4</v>
      </c>
      <c r="V76" s="26">
        <f t="shared" si="29"/>
        <v>8.75</v>
      </c>
      <c r="W76" s="27">
        <f t="shared" si="30"/>
        <v>8.75</v>
      </c>
      <c r="X76" s="27">
        <f t="shared" si="31"/>
        <v>8.75</v>
      </c>
      <c r="Y76" s="27">
        <f t="shared" si="32"/>
        <v>8.75</v>
      </c>
      <c r="Z76" s="28">
        <f t="shared" si="33"/>
        <v>8.75</v>
      </c>
    </row>
    <row r="77" spans="1:26" x14ac:dyDescent="0.35">
      <c r="A77" s="21">
        <v>6</v>
      </c>
      <c r="B77" s="22">
        <v>2</v>
      </c>
      <c r="C77" s="62">
        <v>0.28000000000000003</v>
      </c>
      <c r="D77" s="39">
        <v>0.24434099237070139</v>
      </c>
      <c r="E77" s="40">
        <v>0.19887415894610075</v>
      </c>
      <c r="F77" s="40">
        <v>0.17480250320925314</v>
      </c>
      <c r="G77" s="40">
        <v>0.15039054278513184</v>
      </c>
      <c r="H77" s="41">
        <v>0.13574560769574862</v>
      </c>
      <c r="I77" s="40"/>
      <c r="J77" s="23">
        <v>0.90200000000000002</v>
      </c>
      <c r="K77" s="24">
        <v>0.97699999999999998</v>
      </c>
      <c r="L77" s="24">
        <v>0.99199999999999999</v>
      </c>
      <c r="M77" s="24">
        <v>0.998</v>
      </c>
      <c r="N77" s="25">
        <v>0.997</v>
      </c>
      <c r="O77" s="35">
        <f t="shared" si="22"/>
        <v>0.28000000000000003</v>
      </c>
      <c r="P77" s="26">
        <f t="shared" si="23"/>
        <v>0.33333333333333331</v>
      </c>
      <c r="Q77" s="27">
        <f t="shared" si="34"/>
        <v>0.33333333333333331</v>
      </c>
      <c r="R77" s="27">
        <f t="shared" si="35"/>
        <v>0.33333333333333331</v>
      </c>
      <c r="S77" s="27">
        <f t="shared" si="36"/>
        <v>0.33333333333333331</v>
      </c>
      <c r="T77" s="28">
        <f t="shared" si="37"/>
        <v>0.33333333333333331</v>
      </c>
      <c r="U77" s="35">
        <f t="shared" si="38"/>
        <v>14.7</v>
      </c>
      <c r="V77" s="26">
        <f t="shared" si="29"/>
        <v>17.5</v>
      </c>
      <c r="W77" s="27">
        <f t="shared" si="30"/>
        <v>17.5</v>
      </c>
      <c r="X77" s="27">
        <f t="shared" si="31"/>
        <v>17.5</v>
      </c>
      <c r="Y77" s="27">
        <f t="shared" si="32"/>
        <v>17.5</v>
      </c>
      <c r="Z77" s="28">
        <f t="shared" si="33"/>
        <v>17.5</v>
      </c>
    </row>
    <row r="78" spans="1:26" x14ac:dyDescent="0.35">
      <c r="A78" s="21">
        <v>6</v>
      </c>
      <c r="B78" s="22">
        <v>3</v>
      </c>
      <c r="C78" s="62">
        <v>0.42</v>
      </c>
      <c r="D78" s="39">
        <v>0.35712385114607242</v>
      </c>
      <c r="E78" s="40">
        <v>0.29322783863962343</v>
      </c>
      <c r="F78" s="40">
        <v>0.25547719423823473</v>
      </c>
      <c r="G78" s="40">
        <v>0.22430734443901418</v>
      </c>
      <c r="H78" s="41">
        <v>0.19991326720183786</v>
      </c>
      <c r="I78" s="40"/>
      <c r="J78" s="23">
        <v>0.89100000000000001</v>
      </c>
      <c r="K78" s="24">
        <v>0.96</v>
      </c>
      <c r="L78" s="24">
        <v>0.99199999999999999</v>
      </c>
      <c r="M78" s="24">
        <v>0.997</v>
      </c>
      <c r="N78" s="25">
        <v>0.997</v>
      </c>
      <c r="O78" s="35">
        <f t="shared" si="22"/>
        <v>0.42</v>
      </c>
      <c r="P78" s="26">
        <f t="shared" si="23"/>
        <v>0.5</v>
      </c>
      <c r="Q78" s="27">
        <f t="shared" si="34"/>
        <v>0.5</v>
      </c>
      <c r="R78" s="27">
        <f t="shared" si="35"/>
        <v>0.5</v>
      </c>
      <c r="S78" s="27">
        <f t="shared" si="36"/>
        <v>0.5</v>
      </c>
      <c r="T78" s="28">
        <f t="shared" si="37"/>
        <v>0.5</v>
      </c>
      <c r="U78" s="35">
        <f t="shared" si="38"/>
        <v>22.05</v>
      </c>
      <c r="V78" s="26">
        <f t="shared" si="29"/>
        <v>26.25</v>
      </c>
      <c r="W78" s="27">
        <f t="shared" si="30"/>
        <v>26.25</v>
      </c>
      <c r="X78" s="27">
        <f t="shared" si="31"/>
        <v>26.25</v>
      </c>
      <c r="Y78" s="27">
        <f t="shared" si="32"/>
        <v>26.25</v>
      </c>
      <c r="Z78" s="28">
        <f t="shared" si="33"/>
        <v>26.25</v>
      </c>
    </row>
    <row r="79" spans="1:26" x14ac:dyDescent="0.35">
      <c r="A79" s="21">
        <v>6</v>
      </c>
      <c r="B79" s="22">
        <v>4</v>
      </c>
      <c r="C79" s="62">
        <v>0.5</v>
      </c>
      <c r="D79" s="39">
        <v>0.46158039408062806</v>
      </c>
      <c r="E79" s="40">
        <v>0.38333219647516309</v>
      </c>
      <c r="F79" s="40">
        <v>0.33839494084348842</v>
      </c>
      <c r="G79" s="40">
        <v>0.29190038700035853</v>
      </c>
      <c r="H79" s="41">
        <v>0.26256502277768951</v>
      </c>
      <c r="I79" s="40"/>
      <c r="J79" s="23">
        <v>0.875</v>
      </c>
      <c r="K79" s="24">
        <v>0.97199999999999998</v>
      </c>
      <c r="L79" s="24">
        <v>0.99399999999999999</v>
      </c>
      <c r="M79" s="24">
        <v>0.997</v>
      </c>
      <c r="N79" s="25">
        <v>0.995</v>
      </c>
      <c r="O79" s="35">
        <f t="shared" si="22"/>
        <v>0.5</v>
      </c>
      <c r="P79" s="26">
        <f t="shared" si="23"/>
        <v>0.66666666666666663</v>
      </c>
      <c r="Q79" s="27">
        <f t="shared" si="34"/>
        <v>0.66666666666666663</v>
      </c>
      <c r="R79" s="27">
        <f t="shared" si="35"/>
        <v>0.66666666666666663</v>
      </c>
      <c r="S79" s="27">
        <f t="shared" si="36"/>
        <v>0.66666666666666663</v>
      </c>
      <c r="T79" s="28">
        <f t="shared" si="37"/>
        <v>0.66666666666666663</v>
      </c>
      <c r="U79" s="35">
        <f t="shared" si="38"/>
        <v>26.25</v>
      </c>
      <c r="V79" s="26">
        <f t="shared" si="29"/>
        <v>35</v>
      </c>
      <c r="W79" s="27">
        <f t="shared" si="30"/>
        <v>35</v>
      </c>
      <c r="X79" s="27">
        <f t="shared" si="31"/>
        <v>35</v>
      </c>
      <c r="Y79" s="27">
        <f t="shared" si="32"/>
        <v>35</v>
      </c>
      <c r="Z79" s="28">
        <f t="shared" si="33"/>
        <v>35</v>
      </c>
    </row>
    <row r="80" spans="1:26" x14ac:dyDescent="0.35">
      <c r="A80" s="21">
        <v>6</v>
      </c>
      <c r="B80" s="22">
        <v>5</v>
      </c>
      <c r="C80" s="62">
        <v>0.6</v>
      </c>
      <c r="D80" s="39">
        <v>0.54648540724774319</v>
      </c>
      <c r="E80" s="40">
        <v>0.46497450852030814</v>
      </c>
      <c r="F80" s="40">
        <v>0.41353296673253964</v>
      </c>
      <c r="G80" s="40">
        <v>0.36258393017338353</v>
      </c>
      <c r="H80" s="41">
        <v>0.32439942243408199</v>
      </c>
      <c r="I80" s="40"/>
      <c r="J80" s="23">
        <v>0.86299999999999999</v>
      </c>
      <c r="K80" s="24">
        <v>0.96399999999999997</v>
      </c>
      <c r="L80" s="24">
        <v>0.99199999999999999</v>
      </c>
      <c r="M80" s="24">
        <v>0.995</v>
      </c>
      <c r="N80" s="25">
        <v>0.999</v>
      </c>
      <c r="O80" s="35">
        <f t="shared" si="22"/>
        <v>0.6</v>
      </c>
      <c r="P80" s="26">
        <f t="shared" si="23"/>
        <v>0.81972811087161479</v>
      </c>
      <c r="Q80" s="27">
        <f t="shared" si="34"/>
        <v>0.83333333333333337</v>
      </c>
      <c r="R80" s="27">
        <f t="shared" si="35"/>
        <v>0.83333333333333337</v>
      </c>
      <c r="S80" s="27">
        <f t="shared" si="36"/>
        <v>0.83333333333333337</v>
      </c>
      <c r="T80" s="28">
        <f t="shared" si="37"/>
        <v>0.83333333333333337</v>
      </c>
      <c r="U80" s="35">
        <f t="shared" si="38"/>
        <v>31.499999999999996</v>
      </c>
      <c r="V80" s="26">
        <f t="shared" si="29"/>
        <v>43.035725820759787</v>
      </c>
      <c r="W80" s="27">
        <f t="shared" si="30"/>
        <v>43.75</v>
      </c>
      <c r="X80" s="27">
        <f t="shared" si="31"/>
        <v>43.75</v>
      </c>
      <c r="Y80" s="27">
        <f t="shared" si="32"/>
        <v>43.75</v>
      </c>
      <c r="Z80" s="28">
        <f t="shared" si="33"/>
        <v>43.75</v>
      </c>
    </row>
    <row r="81" spans="1:26" x14ac:dyDescent="0.35">
      <c r="A81" s="21">
        <v>6</v>
      </c>
      <c r="B81" s="22">
        <v>6</v>
      </c>
      <c r="C81" s="62">
        <v>0.7</v>
      </c>
      <c r="D81" s="39">
        <v>0.62772267014943384</v>
      </c>
      <c r="E81" s="40">
        <v>0.54191586028306282</v>
      </c>
      <c r="F81" s="40">
        <v>0.48597111812230442</v>
      </c>
      <c r="G81" s="40">
        <v>0.4299403539933418</v>
      </c>
      <c r="H81" s="41">
        <v>0.38138076855959241</v>
      </c>
      <c r="I81" s="40"/>
      <c r="J81" s="23">
        <v>0.86799999999999999</v>
      </c>
      <c r="K81" s="24">
        <v>0.96699999999999997</v>
      </c>
      <c r="L81" s="24">
        <v>0.99199999999999999</v>
      </c>
      <c r="M81" s="24">
        <v>0.99299999999999999</v>
      </c>
      <c r="N81" s="25">
        <v>0.998</v>
      </c>
      <c r="O81" s="35">
        <f t="shared" si="22"/>
        <v>0.7</v>
      </c>
      <c r="P81" s="26">
        <f t="shared" si="23"/>
        <v>0.94158400522415076</v>
      </c>
      <c r="Q81" s="27">
        <f t="shared" si="34"/>
        <v>1</v>
      </c>
      <c r="R81" s="27">
        <f t="shared" si="35"/>
        <v>1</v>
      </c>
      <c r="S81" s="27">
        <f t="shared" si="36"/>
        <v>1</v>
      </c>
      <c r="T81" s="28">
        <f t="shared" si="37"/>
        <v>1</v>
      </c>
      <c r="U81" s="35">
        <f t="shared" si="38"/>
        <v>36.749999999999993</v>
      </c>
      <c r="V81" s="26">
        <f t="shared" si="29"/>
        <v>49.433160274267912</v>
      </c>
      <c r="W81" s="27">
        <f t="shared" si="30"/>
        <v>52.5</v>
      </c>
      <c r="X81" s="27">
        <f t="shared" si="31"/>
        <v>52.5</v>
      </c>
      <c r="Y81" s="27">
        <f t="shared" si="32"/>
        <v>52.5</v>
      </c>
      <c r="Z81" s="28">
        <f t="shared" si="33"/>
        <v>52.5</v>
      </c>
    </row>
    <row r="82" spans="1:26" x14ac:dyDescent="0.35">
      <c r="A82" s="21">
        <v>6</v>
      </c>
      <c r="B82" s="22">
        <v>7</v>
      </c>
      <c r="C82" s="62">
        <v>0.79</v>
      </c>
      <c r="D82" s="39">
        <v>0.69868377392671699</v>
      </c>
      <c r="E82" s="40">
        <v>0.61384500063226666</v>
      </c>
      <c r="F82" s="40">
        <v>0.55444635187800873</v>
      </c>
      <c r="G82" s="40">
        <v>0.49498198681137201</v>
      </c>
      <c r="H82" s="41">
        <v>0.44421762901909873</v>
      </c>
      <c r="I82" s="40"/>
      <c r="J82" s="23">
        <v>0.82899999999999996</v>
      </c>
      <c r="K82" s="24">
        <v>0.95599999999999996</v>
      </c>
      <c r="L82" s="24">
        <v>0.98599999999999999</v>
      </c>
      <c r="M82" s="24">
        <v>0.99399999999999999</v>
      </c>
      <c r="N82" s="25">
        <v>0.997</v>
      </c>
      <c r="O82" s="35">
        <f t="shared" si="22"/>
        <v>0.79</v>
      </c>
      <c r="P82" s="26">
        <f t="shared" si="23"/>
        <v>1.0480256608900755</v>
      </c>
      <c r="Q82" s="27">
        <f t="shared" si="34"/>
        <v>1.1666666666666667</v>
      </c>
      <c r="R82" s="27">
        <f t="shared" si="35"/>
        <v>1.1666666666666667</v>
      </c>
      <c r="S82" s="27">
        <f t="shared" si="36"/>
        <v>1.1666666666666667</v>
      </c>
      <c r="T82" s="28">
        <f t="shared" si="37"/>
        <v>1.1666666666666667</v>
      </c>
      <c r="U82" s="35">
        <f t="shared" si="38"/>
        <v>41.475000000000009</v>
      </c>
      <c r="V82" s="26">
        <f t="shared" ref="V82:V87" si="39">(P82*$A82*$B$3)-(($B$4*$A82)+(P82*$B$5*$A82))</f>
        <v>55.021347196728968</v>
      </c>
      <c r="W82" s="27">
        <f t="shared" ref="W82:W87" si="40">(Q82*$A82*$B$3)-(($B$4*$A82)+(Q82*$B$5*$A82))</f>
        <v>61.25</v>
      </c>
      <c r="X82" s="27">
        <f t="shared" ref="X82:X87" si="41">(R82*$A82*$B$3)-(($B$4*$A82)+(R82*$B$5*$A82))</f>
        <v>61.25</v>
      </c>
      <c r="Y82" s="27">
        <f t="shared" ref="Y82:Y87" si="42">(S82*$A82*$B$3)-(($B$4*$A82)+(S82*$B$5*$A82))</f>
        <v>61.25</v>
      </c>
      <c r="Z82" s="28">
        <f t="shared" ref="Z82:Z87" si="43">(T82*$A82*$B$3)-(($B$4*$A82)+(T82*$B$5*$A82))</f>
        <v>61.25</v>
      </c>
    </row>
    <row r="83" spans="1:26" x14ac:dyDescent="0.35">
      <c r="A83" s="21">
        <v>6</v>
      </c>
      <c r="B83" s="22">
        <v>8</v>
      </c>
      <c r="C83" s="62">
        <v>0.8</v>
      </c>
      <c r="D83" s="39">
        <v>0.74055879854995021</v>
      </c>
      <c r="E83" s="40">
        <v>0.67576195081477086</v>
      </c>
      <c r="F83" s="40">
        <v>0.61937846670962782</v>
      </c>
      <c r="G83" s="40">
        <v>0.55471830849033765</v>
      </c>
      <c r="H83" s="41">
        <v>0.49745074289605107</v>
      </c>
      <c r="I83" s="40"/>
      <c r="J83" s="23">
        <v>0.78200000000000003</v>
      </c>
      <c r="K83" s="24">
        <v>0.92500000000000004</v>
      </c>
      <c r="L83" s="24">
        <v>0.97799999999999998</v>
      </c>
      <c r="M83" s="24">
        <v>0.99</v>
      </c>
      <c r="N83" s="25">
        <v>0.998</v>
      </c>
      <c r="O83" s="35">
        <f t="shared" si="22"/>
        <v>0.8</v>
      </c>
      <c r="P83" s="26">
        <f t="shared" si="23"/>
        <v>1.1108381978249253</v>
      </c>
      <c r="Q83" s="27">
        <f t="shared" si="34"/>
        <v>1.3333333333333333</v>
      </c>
      <c r="R83" s="27">
        <f t="shared" si="35"/>
        <v>1.3333333333333333</v>
      </c>
      <c r="S83" s="27">
        <f t="shared" si="36"/>
        <v>1.3333333333333333</v>
      </c>
      <c r="T83" s="28">
        <f t="shared" si="37"/>
        <v>1.3333333333333333</v>
      </c>
      <c r="U83" s="35">
        <f t="shared" si="38"/>
        <v>42.000000000000007</v>
      </c>
      <c r="V83" s="26">
        <f t="shared" si="39"/>
        <v>58.31900538580858</v>
      </c>
      <c r="W83" s="27">
        <f t="shared" si="40"/>
        <v>70</v>
      </c>
      <c r="X83" s="27">
        <f t="shared" si="41"/>
        <v>70</v>
      </c>
      <c r="Y83" s="27">
        <f t="shared" si="42"/>
        <v>70</v>
      </c>
      <c r="Z83" s="28">
        <f t="shared" si="43"/>
        <v>70</v>
      </c>
    </row>
    <row r="84" spans="1:26" x14ac:dyDescent="0.35">
      <c r="A84" s="21">
        <v>6</v>
      </c>
      <c r="B84" s="22">
        <v>9</v>
      </c>
      <c r="C84" s="62">
        <v>0.83</v>
      </c>
      <c r="D84" s="39">
        <v>0.78327274436139849</v>
      </c>
      <c r="E84" s="40">
        <v>0.72708299145744515</v>
      </c>
      <c r="F84" s="40">
        <v>0.67614639032170154</v>
      </c>
      <c r="G84" s="40">
        <v>0.60758408018359888</v>
      </c>
      <c r="H84" s="41">
        <v>0.54916723362445652</v>
      </c>
      <c r="I84" s="40"/>
      <c r="J84" s="23">
        <v>0.76300000000000001</v>
      </c>
      <c r="K84" s="24">
        <v>0.89300000000000002</v>
      </c>
      <c r="L84" s="24">
        <v>0.95899999999999996</v>
      </c>
      <c r="M84" s="24">
        <v>0.98899999999999999</v>
      </c>
      <c r="N84" s="25">
        <v>0.99199999999999999</v>
      </c>
      <c r="O84" s="35">
        <f t="shared" si="22"/>
        <v>0.83</v>
      </c>
      <c r="P84" s="26">
        <f t="shared" si="23"/>
        <v>1.1749091165420977</v>
      </c>
      <c r="Q84" s="27">
        <f t="shared" si="34"/>
        <v>1.4541659829148903</v>
      </c>
      <c r="R84" s="27">
        <f t="shared" si="35"/>
        <v>1.5</v>
      </c>
      <c r="S84" s="27">
        <f t="shared" si="36"/>
        <v>1.5</v>
      </c>
      <c r="T84" s="28">
        <f t="shared" si="37"/>
        <v>1.5</v>
      </c>
      <c r="U84" s="35">
        <f t="shared" si="38"/>
        <v>43.575000000000003</v>
      </c>
      <c r="V84" s="26">
        <f t="shared" si="39"/>
        <v>61.682728618460125</v>
      </c>
      <c r="W84" s="27">
        <f t="shared" si="40"/>
        <v>76.343714103031743</v>
      </c>
      <c r="X84" s="27">
        <f t="shared" si="41"/>
        <v>78.75</v>
      </c>
      <c r="Y84" s="27">
        <f t="shared" si="42"/>
        <v>78.75</v>
      </c>
      <c r="Z84" s="28">
        <f t="shared" si="43"/>
        <v>78.75</v>
      </c>
    </row>
    <row r="85" spans="1:26" x14ac:dyDescent="0.35">
      <c r="A85" s="21">
        <v>6</v>
      </c>
      <c r="B85" s="22">
        <v>10</v>
      </c>
      <c r="C85" s="62">
        <v>0.86</v>
      </c>
      <c r="D85" s="39">
        <v>0.81740293617981463</v>
      </c>
      <c r="E85" s="40">
        <v>0.77637681321332941</v>
      </c>
      <c r="F85" s="40">
        <v>0.72200163666689865</v>
      </c>
      <c r="G85" s="40">
        <v>0.66237277966856611</v>
      </c>
      <c r="H85" s="41">
        <v>0.59797060578034167</v>
      </c>
      <c r="I85" s="40"/>
      <c r="J85" s="23">
        <v>0.73499999999999999</v>
      </c>
      <c r="K85" s="24">
        <v>0.875</v>
      </c>
      <c r="L85" s="24">
        <v>0.95299999999999996</v>
      </c>
      <c r="M85" s="24">
        <v>0.97699999999999998</v>
      </c>
      <c r="N85" s="25">
        <v>0.99099999999999999</v>
      </c>
      <c r="O85" s="35">
        <f t="shared" si="22"/>
        <v>0.86</v>
      </c>
      <c r="P85" s="26">
        <f t="shared" si="23"/>
        <v>1.226104404269722</v>
      </c>
      <c r="Q85" s="27">
        <f t="shared" si="34"/>
        <v>1.5527536264266588</v>
      </c>
      <c r="R85" s="27">
        <f t="shared" si="35"/>
        <v>1.6666666666666667</v>
      </c>
      <c r="S85" s="27">
        <f t="shared" si="36"/>
        <v>1.6666666666666667</v>
      </c>
      <c r="T85" s="28">
        <f t="shared" si="37"/>
        <v>1.6666666666666667</v>
      </c>
      <c r="U85" s="35">
        <f t="shared" si="38"/>
        <v>45.15</v>
      </c>
      <c r="V85" s="26">
        <f t="shared" si="39"/>
        <v>64.3704812241604</v>
      </c>
      <c r="W85" s="27">
        <f t="shared" si="40"/>
        <v>81.519565387399581</v>
      </c>
      <c r="X85" s="27">
        <f t="shared" si="41"/>
        <v>87.5</v>
      </c>
      <c r="Y85" s="27">
        <f t="shared" si="42"/>
        <v>87.5</v>
      </c>
      <c r="Z85" s="28">
        <f t="shared" si="43"/>
        <v>87.5</v>
      </c>
    </row>
    <row r="86" spans="1:26" x14ac:dyDescent="0.35">
      <c r="A86" s="21">
        <v>6</v>
      </c>
      <c r="B86" s="22">
        <v>11</v>
      </c>
      <c r="C86" s="62">
        <v>0.88</v>
      </c>
      <c r="D86" s="39">
        <v>0.83959041977694293</v>
      </c>
      <c r="E86" s="40">
        <v>0.8136521753898156</v>
      </c>
      <c r="F86" s="40">
        <v>0.76308808444211029</v>
      </c>
      <c r="G86" s="40">
        <v>0.70027518539600497</v>
      </c>
      <c r="H86" s="41">
        <v>0.64295900120708327</v>
      </c>
      <c r="I86" s="40"/>
      <c r="J86" s="23">
        <v>0.69599999999999995</v>
      </c>
      <c r="K86" s="24">
        <v>0.85599999999999998</v>
      </c>
      <c r="L86" s="24">
        <v>0.93300000000000005</v>
      </c>
      <c r="M86" s="24">
        <v>0.97199999999999998</v>
      </c>
      <c r="N86" s="25">
        <v>0.98799999999999999</v>
      </c>
      <c r="O86" s="35">
        <f t="shared" si="22"/>
        <v>0.88</v>
      </c>
      <c r="P86" s="26">
        <f t="shared" si="23"/>
        <v>1.2593856296654145</v>
      </c>
      <c r="Q86" s="27">
        <f t="shared" si="34"/>
        <v>1.6273043507796312</v>
      </c>
      <c r="R86" s="27">
        <f t="shared" si="35"/>
        <v>1.8333333333333333</v>
      </c>
      <c r="S86" s="27">
        <f t="shared" si="36"/>
        <v>1.8333333333333333</v>
      </c>
      <c r="T86" s="28">
        <f t="shared" si="37"/>
        <v>1.8333333333333333</v>
      </c>
      <c r="U86" s="35">
        <f t="shared" si="38"/>
        <v>46.20000000000001</v>
      </c>
      <c r="V86" s="26">
        <f t="shared" si="39"/>
        <v>66.117745557434262</v>
      </c>
      <c r="W86" s="27">
        <f t="shared" si="40"/>
        <v>85.433478415930637</v>
      </c>
      <c r="X86" s="27">
        <f t="shared" si="41"/>
        <v>96.25</v>
      </c>
      <c r="Y86" s="27">
        <f t="shared" si="42"/>
        <v>96.25</v>
      </c>
      <c r="Z86" s="28">
        <f t="shared" si="43"/>
        <v>96.25</v>
      </c>
    </row>
    <row r="87" spans="1:26" x14ac:dyDescent="0.35">
      <c r="A87" s="18">
        <v>6</v>
      </c>
      <c r="B87" s="20">
        <v>12</v>
      </c>
      <c r="C87" s="63">
        <v>0.88</v>
      </c>
      <c r="D87" s="42">
        <v>0.85600335208327794</v>
      </c>
      <c r="E87" s="43">
        <v>0.83641424068235881</v>
      </c>
      <c r="F87" s="43">
        <v>0.79723229458131506</v>
      </c>
      <c r="G87" s="43">
        <v>0.74845103540661795</v>
      </c>
      <c r="H87" s="44">
        <v>0.69330084729975927</v>
      </c>
      <c r="I87" s="43"/>
      <c r="J87" s="29">
        <v>0.65100000000000002</v>
      </c>
      <c r="K87" s="30">
        <v>0.82299999999999995</v>
      </c>
      <c r="L87" s="30">
        <v>0.9</v>
      </c>
      <c r="M87" s="30">
        <v>0.95099999999999996</v>
      </c>
      <c r="N87" s="31">
        <v>0.98699999999999999</v>
      </c>
      <c r="O87" s="35">
        <f t="shared" si="22"/>
        <v>0.88</v>
      </c>
      <c r="P87" s="32">
        <f t="shared" si="23"/>
        <v>1.2840050281249169</v>
      </c>
      <c r="Q87" s="33">
        <f t="shared" si="34"/>
        <v>1.6728284813647176</v>
      </c>
      <c r="R87" s="33">
        <f t="shared" si="35"/>
        <v>1.9930807364532876</v>
      </c>
      <c r="S87" s="33">
        <f t="shared" si="36"/>
        <v>2</v>
      </c>
      <c r="T87" s="34">
        <f t="shared" si="37"/>
        <v>2</v>
      </c>
      <c r="U87" s="35">
        <f t="shared" si="38"/>
        <v>46.20000000000001</v>
      </c>
      <c r="V87" s="32">
        <f t="shared" si="39"/>
        <v>67.410263976558127</v>
      </c>
      <c r="W87" s="33">
        <f t="shared" si="40"/>
        <v>87.823495271647673</v>
      </c>
      <c r="X87" s="33">
        <f t="shared" si="41"/>
        <v>104.63673866379762</v>
      </c>
      <c r="Y87" s="33">
        <f t="shared" si="42"/>
        <v>105</v>
      </c>
      <c r="Z87" s="34">
        <f t="shared" si="43"/>
        <v>105</v>
      </c>
    </row>
    <row r="89" spans="1:26" x14ac:dyDescent="0.35">
      <c r="A89" s="14"/>
      <c r="D89" s="38"/>
      <c r="E89" s="38"/>
      <c r="F89" s="38"/>
      <c r="G89" s="38"/>
      <c r="H89" s="38"/>
      <c r="I89" s="38"/>
    </row>
    <row r="90" spans="1:26" x14ac:dyDescent="0.35">
      <c r="A90" s="14"/>
      <c r="D90" s="38"/>
      <c r="E90" s="38"/>
      <c r="F90" s="38"/>
      <c r="G90" s="38"/>
      <c r="H90" s="38"/>
      <c r="I90" s="38"/>
    </row>
    <row r="91" spans="1:26" x14ac:dyDescent="0.35">
      <c r="A91" s="14"/>
      <c r="D91" s="38"/>
      <c r="E91" s="38"/>
      <c r="F91" s="38"/>
      <c r="G91" s="38"/>
      <c r="H91" s="38"/>
      <c r="I91" s="38"/>
    </row>
    <row r="92" spans="1:26" x14ac:dyDescent="0.35">
      <c r="A92" s="14"/>
      <c r="D92" s="38"/>
      <c r="E92" s="38"/>
      <c r="F92" s="38"/>
      <c r="G92" s="38"/>
      <c r="H92" s="38"/>
      <c r="I92" s="38"/>
    </row>
    <row r="93" spans="1:26" x14ac:dyDescent="0.35">
      <c r="A93" s="14"/>
      <c r="D93" s="38"/>
      <c r="E93" s="38"/>
      <c r="F93" s="38"/>
      <c r="G93" s="38"/>
      <c r="H93" s="38"/>
      <c r="I93" s="38"/>
    </row>
    <row r="94" spans="1:26" x14ac:dyDescent="0.35">
      <c r="A94" s="14"/>
      <c r="D94" s="38"/>
      <c r="E94" s="38"/>
      <c r="F94" s="38"/>
      <c r="G94" s="38"/>
      <c r="H94" s="38"/>
      <c r="I94" s="38"/>
    </row>
    <row r="95" spans="1:26" x14ac:dyDescent="0.35">
      <c r="A95" s="14"/>
      <c r="D95" s="38"/>
      <c r="E95" s="38"/>
      <c r="F95" s="38"/>
      <c r="G95" s="38"/>
      <c r="H95" s="38"/>
      <c r="I95" s="38"/>
    </row>
    <row r="96" spans="1:26" x14ac:dyDescent="0.35">
      <c r="A96" s="14"/>
      <c r="D96" s="38"/>
      <c r="E96" s="38"/>
      <c r="F96" s="38"/>
      <c r="G96" s="38"/>
      <c r="H96" s="38"/>
      <c r="I96" s="38"/>
    </row>
    <row r="97" spans="1:9" x14ac:dyDescent="0.35">
      <c r="A97" s="14"/>
      <c r="D97" s="38"/>
      <c r="E97" s="38"/>
      <c r="F97" s="38"/>
      <c r="G97" s="38"/>
      <c r="H97" s="38"/>
      <c r="I97" s="38"/>
    </row>
    <row r="98" spans="1:9" x14ac:dyDescent="0.35">
      <c r="A98" s="14"/>
      <c r="D98" s="38"/>
      <c r="E98" s="38"/>
      <c r="F98" s="38"/>
      <c r="G98" s="38"/>
      <c r="H98" s="38"/>
      <c r="I98" s="38"/>
    </row>
    <row r="99" spans="1:9" x14ac:dyDescent="0.35">
      <c r="A99" s="14"/>
      <c r="D99" s="38"/>
      <c r="E99" s="38"/>
      <c r="F99" s="38"/>
      <c r="G99" s="38"/>
      <c r="H99" s="38"/>
      <c r="I99" s="38"/>
    </row>
    <row r="100" spans="1:9" x14ac:dyDescent="0.35">
      <c r="A100" s="14"/>
      <c r="D100" s="38"/>
      <c r="E100" s="38"/>
      <c r="F100" s="38"/>
      <c r="G100" s="38"/>
      <c r="H100" s="38"/>
      <c r="I100" s="38"/>
    </row>
    <row r="101" spans="1:9" x14ac:dyDescent="0.35">
      <c r="A101" s="14"/>
      <c r="D101" s="38"/>
      <c r="E101" s="38"/>
      <c r="F101" s="38"/>
      <c r="G101" s="38"/>
      <c r="H101" s="38"/>
      <c r="I101" s="38"/>
    </row>
    <row r="102" spans="1:9" x14ac:dyDescent="0.35">
      <c r="A102" s="14"/>
      <c r="D102" s="38"/>
      <c r="E102" s="38"/>
      <c r="F102" s="38"/>
      <c r="G102" s="38"/>
      <c r="H102" s="38"/>
      <c r="I102" s="38"/>
    </row>
    <row r="103" spans="1:9" x14ac:dyDescent="0.35">
      <c r="A103" s="14"/>
      <c r="D103" s="38"/>
      <c r="E103" s="38"/>
      <c r="F103" s="38"/>
      <c r="G103" s="38"/>
      <c r="H103" s="38"/>
      <c r="I103" s="38"/>
    </row>
    <row r="104" spans="1:9" x14ac:dyDescent="0.35">
      <c r="A104" s="14"/>
      <c r="D104" s="38"/>
      <c r="E104" s="38"/>
      <c r="F104" s="38"/>
      <c r="G104" s="38"/>
      <c r="H104" s="38"/>
      <c r="I104" s="38"/>
    </row>
    <row r="105" spans="1:9" x14ac:dyDescent="0.35">
      <c r="A105" s="14"/>
      <c r="D105" s="38"/>
      <c r="E105" s="38"/>
      <c r="F105" s="38"/>
      <c r="G105" s="38"/>
      <c r="H105" s="38"/>
      <c r="I105" s="38"/>
    </row>
    <row r="106" spans="1:9" x14ac:dyDescent="0.35">
      <c r="A106" s="14"/>
      <c r="D106" s="38"/>
      <c r="E106" s="38"/>
      <c r="F106" s="38"/>
      <c r="G106" s="38"/>
      <c r="H106" s="38"/>
      <c r="I106" s="38"/>
    </row>
    <row r="107" spans="1:9" x14ac:dyDescent="0.35">
      <c r="A107" s="14"/>
      <c r="D107" s="38"/>
      <c r="E107" s="38"/>
      <c r="F107" s="38"/>
      <c r="G107" s="38"/>
      <c r="H107" s="38"/>
      <c r="I107" s="38"/>
    </row>
    <row r="108" spans="1:9" x14ac:dyDescent="0.35">
      <c r="A108" s="14"/>
      <c r="D108" s="38"/>
      <c r="E108" s="38"/>
      <c r="F108" s="38"/>
      <c r="G108" s="38"/>
      <c r="H108" s="38"/>
      <c r="I108" s="38"/>
    </row>
    <row r="109" spans="1:9" x14ac:dyDescent="0.35">
      <c r="A109" s="14"/>
      <c r="D109" s="38"/>
      <c r="E109" s="38"/>
      <c r="F109" s="38"/>
      <c r="G109" s="38"/>
      <c r="H109" s="38"/>
      <c r="I109" s="38"/>
    </row>
    <row r="110" spans="1:9" x14ac:dyDescent="0.35">
      <c r="A110" s="14"/>
      <c r="D110" s="38"/>
      <c r="E110" s="38"/>
      <c r="F110" s="38"/>
      <c r="G110" s="38"/>
      <c r="H110" s="38"/>
      <c r="I110" s="38"/>
    </row>
    <row r="111" spans="1:9" x14ac:dyDescent="0.35">
      <c r="A111" s="14"/>
      <c r="D111" s="38"/>
      <c r="E111" s="38"/>
      <c r="F111" s="38"/>
      <c r="G111" s="38"/>
      <c r="H111" s="38"/>
      <c r="I111" s="38"/>
    </row>
    <row r="112" spans="1:9" x14ac:dyDescent="0.35">
      <c r="A112" s="14"/>
      <c r="D112" s="38"/>
      <c r="E112" s="38"/>
      <c r="F112" s="38"/>
      <c r="G112" s="38"/>
      <c r="H112" s="38"/>
      <c r="I112" s="38"/>
    </row>
    <row r="113" spans="1:9" x14ac:dyDescent="0.35">
      <c r="A113" s="14"/>
      <c r="D113" s="38"/>
      <c r="E113" s="38"/>
      <c r="F113" s="38"/>
      <c r="G113" s="38"/>
      <c r="H113" s="38"/>
      <c r="I113" s="38"/>
    </row>
    <row r="114" spans="1:9" x14ac:dyDescent="0.35">
      <c r="A114" s="14"/>
      <c r="D114" s="38"/>
      <c r="E114" s="38"/>
      <c r="F114" s="38"/>
      <c r="G114" s="38"/>
      <c r="H114" s="38"/>
      <c r="I114" s="38"/>
    </row>
    <row r="115" spans="1:9" x14ac:dyDescent="0.35">
      <c r="A115" s="14"/>
      <c r="D115" s="38"/>
      <c r="E115" s="38"/>
      <c r="F115" s="38"/>
      <c r="G115" s="38"/>
      <c r="H115" s="38"/>
      <c r="I115" s="38"/>
    </row>
    <row r="116" spans="1:9" x14ac:dyDescent="0.35">
      <c r="A116" s="14"/>
      <c r="D116" s="38"/>
      <c r="E116" s="38"/>
      <c r="F116" s="38"/>
      <c r="G116" s="38"/>
      <c r="H116" s="38"/>
      <c r="I116" s="38"/>
    </row>
    <row r="117" spans="1:9" x14ac:dyDescent="0.35">
      <c r="A117" s="14"/>
      <c r="D117" s="38"/>
      <c r="E117" s="38"/>
      <c r="F117" s="38"/>
      <c r="G117" s="38"/>
      <c r="H117" s="38"/>
      <c r="I117" s="38"/>
    </row>
    <row r="118" spans="1:9" x14ac:dyDescent="0.35">
      <c r="A118" s="14"/>
      <c r="D118" s="38"/>
      <c r="E118" s="38"/>
      <c r="F118" s="38"/>
      <c r="G118" s="38"/>
      <c r="H118" s="38"/>
      <c r="I118" s="38"/>
    </row>
    <row r="119" spans="1:9" x14ac:dyDescent="0.35">
      <c r="A119" s="14"/>
      <c r="D119" s="38"/>
      <c r="E119" s="38"/>
      <c r="F119" s="38"/>
      <c r="G119" s="38"/>
      <c r="H119" s="38"/>
      <c r="I119" s="38"/>
    </row>
    <row r="120" spans="1:9" x14ac:dyDescent="0.35">
      <c r="A120" s="14"/>
      <c r="D120" s="38"/>
      <c r="E120" s="38"/>
      <c r="F120" s="38"/>
      <c r="G120" s="38"/>
      <c r="H120" s="38"/>
      <c r="I120" s="38"/>
    </row>
    <row r="121" spans="1:9" x14ac:dyDescent="0.35">
      <c r="A121" s="14"/>
      <c r="D121" s="38"/>
      <c r="E121" s="38"/>
      <c r="F121" s="38"/>
      <c r="G121" s="38"/>
      <c r="H121" s="38"/>
      <c r="I121" s="38"/>
    </row>
    <row r="122" spans="1:9" x14ac:dyDescent="0.35">
      <c r="A122" s="14"/>
      <c r="D122" s="38"/>
      <c r="E122" s="38"/>
      <c r="F122" s="38"/>
      <c r="G122" s="38"/>
      <c r="H122" s="38"/>
      <c r="I122" s="38"/>
    </row>
    <row r="123" spans="1:9" x14ac:dyDescent="0.35">
      <c r="A123" s="14"/>
      <c r="D123" s="38"/>
      <c r="E123" s="38"/>
      <c r="F123" s="38"/>
      <c r="G123" s="38"/>
      <c r="H123" s="38"/>
      <c r="I123" s="38"/>
    </row>
    <row r="124" spans="1:9" x14ac:dyDescent="0.35">
      <c r="A124" s="14"/>
      <c r="D124" s="38"/>
      <c r="E124" s="38"/>
      <c r="F124" s="38"/>
      <c r="G124" s="38"/>
      <c r="H124" s="38"/>
      <c r="I124" s="38"/>
    </row>
  </sheetData>
  <autoFilter ref="A9:Z87"/>
  <conditionalFormatting sqref="D23:I23">
    <cfRule type="colorScale" priority="7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3:N23">
    <cfRule type="colorScale" priority="7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4:T35">
    <cfRule type="colorScale" priority="7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4:Z35">
    <cfRule type="colorScale" priority="7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4:Z35">
    <cfRule type="colorScale" priority="7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24:I35">
    <cfRule type="colorScale" priority="6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24:N35">
    <cfRule type="colorScale" priority="6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3:T23">
    <cfRule type="colorScale" priority="5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3:Z23">
    <cfRule type="colorScale" priority="5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23:Z23">
    <cfRule type="colorScale" priority="6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23:Z35">
    <cfRule type="colorScale" priority="4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23:T35">
    <cfRule type="colorScale" priority="4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36:I36">
    <cfRule type="colorScale" priority="3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6:N36">
    <cfRule type="colorScale" priority="3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7:T48">
    <cfRule type="colorScale" priority="3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7:Z48">
    <cfRule type="colorScale" priority="4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7:Z48">
    <cfRule type="colorScale" priority="4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37:I48">
    <cfRule type="colorScale" priority="3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37:N48">
    <cfRule type="colorScale" priority="3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6:T36">
    <cfRule type="colorScale" priority="3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6:Z36">
    <cfRule type="colorScale" priority="3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36:Z36">
    <cfRule type="colorScale" priority="3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36:Z48">
    <cfRule type="colorScale" priority="3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36:T48">
    <cfRule type="colorScale" priority="3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49:I49 D62:I62 D75:I75">
    <cfRule type="colorScale" priority="2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49:N49 J62:N62 J75:N75">
    <cfRule type="colorScale" priority="2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50:T61 P63:T74 P76:T87">
    <cfRule type="colorScale" priority="2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0:Z61 V63:Z74 V76:Z87">
    <cfRule type="colorScale" priority="2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50:Z61 V63:Z74 V76:Z87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50:I61 D63:I74 D76:I87">
    <cfRule type="colorScale" priority="2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50:N61 J63:N74 J76:N87">
    <cfRule type="colorScale" priority="2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9:T49 P62:T62 P75:T75">
    <cfRule type="colorScale" priority="20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9:Z49 V62:Z62 V75:Z75">
    <cfRule type="colorScale" priority="2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49:Z49 V62:Z62 V75:Z75">
    <cfRule type="colorScale" priority="2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49:Z87">
    <cfRule type="colorScale" priority="1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49:T87">
    <cfRule type="colorScale" priority="1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0:I10">
    <cfRule type="colorScale" priority="1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0:N10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1:T2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:Z22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1:Z22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D11:I22">
    <cfRule type="colorScale" priority="1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J11:N22">
    <cfRule type="colorScale" priority="1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10">
    <cfRule type="colorScale" priority="8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:Z10">
    <cfRule type="colorScale" priority="9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V10:Z10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V10:Z22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P10:T22">
    <cfRule type="colorScale" priority="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0:O87"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O10:O87">
    <cfRule type="colorScale" priority="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:U87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U10:U87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U10:U87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scale="6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G471"/>
  <sheetViews>
    <sheetView showGridLines="0" tabSelected="1" workbookViewId="0">
      <selection activeCell="J10" sqref="J10"/>
    </sheetView>
  </sheetViews>
  <sheetFormatPr defaultRowHeight="14.5" x14ac:dyDescent="0.35"/>
  <cols>
    <col min="1" max="1" width="10.54296875" customWidth="1"/>
    <col min="2" max="2" width="11.26953125" customWidth="1"/>
    <col min="3" max="3" width="11.81640625" customWidth="1"/>
    <col min="4" max="4" width="9.453125" customWidth="1"/>
  </cols>
  <sheetData>
    <row r="1" spans="1:7" ht="15.5" x14ac:dyDescent="0.35">
      <c r="A1" s="47" t="s">
        <v>13</v>
      </c>
    </row>
    <row r="3" spans="1:7" x14ac:dyDescent="0.35">
      <c r="A3" s="10" t="s">
        <v>9</v>
      </c>
      <c r="B3" s="11" t="s">
        <v>10</v>
      </c>
      <c r="C3" t="s">
        <v>11</v>
      </c>
      <c r="D3" t="s">
        <v>12</v>
      </c>
      <c r="E3" t="s">
        <v>14</v>
      </c>
      <c r="F3" t="s">
        <v>15</v>
      </c>
      <c r="G3" t="s">
        <v>16</v>
      </c>
    </row>
    <row r="4" spans="1:7" x14ac:dyDescent="0.35">
      <c r="A4" s="64">
        <v>1</v>
      </c>
      <c r="B4" s="66">
        <v>0</v>
      </c>
      <c r="C4">
        <v>1</v>
      </c>
      <c r="D4" s="67">
        <f t="array" ref="D4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" s="58">
        <f t="array" ref="E4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" s="58">
        <f t="array" ref="F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" s="60">
        <f t="array" ref="G4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5" spans="1:7" x14ac:dyDescent="0.35">
      <c r="A5" s="65">
        <v>1</v>
      </c>
      <c r="B5" s="66">
        <v>1</v>
      </c>
      <c r="C5">
        <v>1</v>
      </c>
      <c r="D5" s="67">
        <f t="array" ref="D5">+INDEX('OUTCOME MODEL'!$U$10:$Z$87,MATCH(Table1[[#This Row],[DRIVERS]]&amp;Table1[[#This Row],[DEMAND]],'OUTCOME MODEL'!$A$10:$A$87&amp;'OUTCOME MODEL'!$B$10:$B$87,0),MATCH(Table1[[#This Row],[CAPACITY]],'OUTCOME MODEL'!$U$9:$Z$9))</f>
        <v>4.7250000000000005</v>
      </c>
      <c r="E5" s="58">
        <f t="array" ref="E5">+INDEX('OUTCOME MODEL'!$C$10:$H$87,MATCH(Table1[[#This Row],[DRIVERS]]&amp;Table1[[#This Row],[DEMAND]],'OUTCOME MODEL'!$A$10:$A$87&amp;'OUTCOME MODEL'!$B$10:$B$87,0),MATCH(Table1[[#This Row],[CAPACITY]],'OUTCOME MODEL'!$C$9:$H$9))</f>
        <v>0.54</v>
      </c>
      <c r="F5" s="58">
        <f t="array" ref="F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" s="60">
        <f t="array" ref="G5">+INDEX('OUTCOME MODEL'!$O$10:$T$87,MATCH(Table1[[#This Row],[DRIVERS]]&amp;Table1[[#This Row],[DEMAND]],'OUTCOME MODEL'!$A$10:$A$87&amp;'OUTCOME MODEL'!$B$10:$B$87,0),MATCH(Table1[[#This Row],[CAPACITY]],'OUTCOME MODEL'!$O$9:$T$9))</f>
        <v>0.54</v>
      </c>
    </row>
    <row r="6" spans="1:7" x14ac:dyDescent="0.35">
      <c r="A6" s="64">
        <v>1</v>
      </c>
      <c r="B6" s="66">
        <v>2</v>
      </c>
      <c r="C6">
        <v>1</v>
      </c>
      <c r="D6" s="67">
        <f t="array" ref="D6">+INDEX('OUTCOME MODEL'!$U$10:$Z$87,MATCH(Table1[[#This Row],[DRIVERS]]&amp;Table1[[#This Row],[DEMAND]],'OUTCOME MODEL'!$A$10:$A$87&amp;'OUTCOME MODEL'!$B$10:$B$87,0),MATCH(Table1[[#This Row],[CAPACITY]],'OUTCOME MODEL'!$U$9:$Z$9))</f>
        <v>6.7374999999999998</v>
      </c>
      <c r="E6" s="58">
        <f t="array" ref="E6">+INDEX('OUTCOME MODEL'!$C$10:$H$87,MATCH(Table1[[#This Row],[DRIVERS]]&amp;Table1[[#This Row],[DEMAND]],'OUTCOME MODEL'!$A$10:$A$87&amp;'OUTCOME MODEL'!$B$10:$B$87,0),MATCH(Table1[[#This Row],[CAPACITY]],'OUTCOME MODEL'!$C$9:$H$9))</f>
        <v>0.77</v>
      </c>
      <c r="F6" s="58">
        <f t="array" ref="F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" s="60">
        <f t="array" ref="G6">+INDEX('OUTCOME MODEL'!$O$10:$T$87,MATCH(Table1[[#This Row],[DRIVERS]]&amp;Table1[[#This Row],[DEMAND]],'OUTCOME MODEL'!$A$10:$A$87&amp;'OUTCOME MODEL'!$B$10:$B$87,0),MATCH(Table1[[#This Row],[CAPACITY]],'OUTCOME MODEL'!$O$9:$T$9))</f>
        <v>0.77</v>
      </c>
    </row>
    <row r="7" spans="1:7" x14ac:dyDescent="0.35">
      <c r="A7" s="65">
        <v>1</v>
      </c>
      <c r="B7" s="66">
        <v>3</v>
      </c>
      <c r="C7">
        <v>1</v>
      </c>
      <c r="D7" s="67">
        <f t="array" ref="D7">+INDEX('OUTCOME MODEL'!$U$10:$Z$87,MATCH(Table1[[#This Row],[DRIVERS]]&amp;Table1[[#This Row],[DEMAND]],'OUTCOME MODEL'!$A$10:$A$87&amp;'OUTCOME MODEL'!$B$10:$B$87,0),MATCH(Table1[[#This Row],[CAPACITY]],'OUTCOME MODEL'!$U$9:$Z$9))</f>
        <v>7.875</v>
      </c>
      <c r="E7" s="58">
        <f t="array" ref="E7">+INDEX('OUTCOME MODEL'!$C$10:$H$87,MATCH(Table1[[#This Row],[DRIVERS]]&amp;Table1[[#This Row],[DEMAND]],'OUTCOME MODEL'!$A$10:$A$87&amp;'OUTCOME MODEL'!$B$10:$B$87,0),MATCH(Table1[[#This Row],[CAPACITY]],'OUTCOME MODEL'!$C$9:$H$9))</f>
        <v>0.9</v>
      </c>
      <c r="F7" s="58">
        <f t="array" ref="F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" s="60">
        <f t="array" ref="G7">+INDEX('OUTCOME MODEL'!$O$10:$T$87,MATCH(Table1[[#This Row],[DRIVERS]]&amp;Table1[[#This Row],[DEMAND]],'OUTCOME MODEL'!$A$10:$A$87&amp;'OUTCOME MODEL'!$B$10:$B$87,0),MATCH(Table1[[#This Row],[CAPACITY]],'OUTCOME MODEL'!$O$9:$T$9))</f>
        <v>0.9</v>
      </c>
    </row>
    <row r="8" spans="1:7" x14ac:dyDescent="0.35">
      <c r="A8" s="64">
        <v>1</v>
      </c>
      <c r="B8" s="66">
        <v>4</v>
      </c>
      <c r="C8">
        <v>1</v>
      </c>
      <c r="D8" s="67">
        <f t="array" ref="D8">+INDEX('OUTCOME MODEL'!$U$10:$Z$87,MATCH(Table1[[#This Row],[DRIVERS]]&amp;Table1[[#This Row],[DEMAND]],'OUTCOME MODEL'!$A$10:$A$87&amp;'OUTCOME MODEL'!$B$10:$B$87,0),MATCH(Table1[[#This Row],[CAPACITY]],'OUTCOME MODEL'!$U$9:$Z$9))</f>
        <v>8.4874999999999989</v>
      </c>
      <c r="E8" s="58">
        <f t="array" ref="E8">+INDEX('OUTCOME MODEL'!$C$10:$H$87,MATCH(Table1[[#This Row],[DRIVERS]]&amp;Table1[[#This Row],[DEMAND]],'OUTCOME MODEL'!$A$10:$A$87&amp;'OUTCOME MODEL'!$B$10:$B$87,0),MATCH(Table1[[#This Row],[CAPACITY]],'OUTCOME MODEL'!$C$9:$H$9))</f>
        <v>0.97</v>
      </c>
      <c r="F8" s="58">
        <f t="array" ref="F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8" s="60">
        <f t="array" ref="G8">+INDEX('OUTCOME MODEL'!$O$10:$T$87,MATCH(Table1[[#This Row],[DRIVERS]]&amp;Table1[[#This Row],[DEMAND]],'OUTCOME MODEL'!$A$10:$A$87&amp;'OUTCOME MODEL'!$B$10:$B$87,0),MATCH(Table1[[#This Row],[CAPACITY]],'OUTCOME MODEL'!$O$9:$T$9))</f>
        <v>0.97</v>
      </c>
    </row>
    <row r="9" spans="1:7" x14ac:dyDescent="0.35">
      <c r="A9" s="65">
        <v>1</v>
      </c>
      <c r="B9" s="66">
        <v>5</v>
      </c>
      <c r="C9">
        <v>1</v>
      </c>
      <c r="D9" s="67">
        <f t="array" ref="D9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9" s="58">
        <f t="array" ref="E9">+INDEX('OUTCOME MODEL'!$C$10:$H$87,MATCH(Table1[[#This Row],[DRIVERS]]&amp;Table1[[#This Row],[DEMAND]],'OUTCOME MODEL'!$A$10:$A$87&amp;'OUTCOME MODEL'!$B$10:$B$87,0),MATCH(Table1[[#This Row],[CAPACITY]],'OUTCOME MODEL'!$C$9:$H$9))</f>
        <v>1</v>
      </c>
      <c r="F9" s="58">
        <f t="array" ref="F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9" s="60">
        <f t="array" ref="G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0" spans="1:7" x14ac:dyDescent="0.35">
      <c r="A10" s="64">
        <v>1</v>
      </c>
      <c r="B10" s="66">
        <v>6</v>
      </c>
      <c r="C10">
        <v>1</v>
      </c>
      <c r="D10" s="67">
        <f t="array" ref="D10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0" s="58">
        <f t="array" ref="E10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0" s="58">
        <f t="array" ref="F1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0" s="60">
        <f t="array" ref="G10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1" spans="1:7" x14ac:dyDescent="0.35">
      <c r="A11" s="65">
        <v>1</v>
      </c>
      <c r="B11" s="66">
        <v>7</v>
      </c>
      <c r="C11">
        <v>1</v>
      </c>
      <c r="D11" s="67">
        <f t="array" ref="D11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1" s="58">
        <f t="array" ref="E11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1" s="58">
        <f t="array" ref="F1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1" s="60">
        <f t="array" ref="G1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2" spans="1:7" x14ac:dyDescent="0.35">
      <c r="A12" s="64">
        <v>1</v>
      </c>
      <c r="B12" s="66">
        <v>8</v>
      </c>
      <c r="C12">
        <v>1</v>
      </c>
      <c r="D12" s="67">
        <f t="array" ref="D12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2" s="58">
        <f t="array" ref="E12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2" s="58">
        <f t="array" ref="F1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2" s="60">
        <f t="array" ref="G12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3" spans="1:7" x14ac:dyDescent="0.35">
      <c r="A13" s="65">
        <v>1</v>
      </c>
      <c r="B13" s="66">
        <v>9</v>
      </c>
      <c r="C13">
        <v>1</v>
      </c>
      <c r="D13" s="67">
        <f t="array" ref="D13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3" s="58">
        <f t="array" ref="E13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3" s="58">
        <f t="array" ref="F1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3" s="60">
        <f t="array" ref="G13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4" spans="1:7" x14ac:dyDescent="0.35">
      <c r="A14" s="64">
        <v>1</v>
      </c>
      <c r="B14" s="66">
        <v>10</v>
      </c>
      <c r="C14">
        <v>1</v>
      </c>
      <c r="D14" s="67">
        <f t="array" ref="D14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4" s="58">
        <f t="array" ref="E14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4" s="58">
        <f t="array" ref="F1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4" s="60">
        <f t="array" ref="G14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5" spans="1:7" x14ac:dyDescent="0.35">
      <c r="A15" s="69">
        <v>1</v>
      </c>
      <c r="B15" s="70">
        <v>11</v>
      </c>
      <c r="C15">
        <v>1</v>
      </c>
      <c r="D15" s="67">
        <f t="array" ref="D15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5" s="58">
        <f t="array" ref="E15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5" s="58">
        <f t="array" ref="F1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5" s="60">
        <f t="array" ref="G1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6" spans="1:7" x14ac:dyDescent="0.35">
      <c r="A16" s="64">
        <v>1</v>
      </c>
      <c r="B16" s="66">
        <v>12</v>
      </c>
      <c r="C16">
        <v>1</v>
      </c>
      <c r="D16" s="67">
        <f t="array" ref="D16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6" s="58">
        <f t="array" ref="E16">+INDEX('OUTCOME MODEL'!$C$10:$H$87,MATCH(Table1[[#This Row],[DRIVERS]]&amp;Table1[[#This Row],[DEMAND]],'OUTCOME MODEL'!$A$10:$A$87&amp;'OUTCOME MODEL'!$B$10:$B$87,0),MATCH(Table1[[#This Row],[CAPACITY]],'OUTCOME MODEL'!$C$9:$H$9))</f>
        <v>1</v>
      </c>
      <c r="F16" s="58">
        <f t="array" ref="F1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6" s="60">
        <f t="array" ref="G16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7" spans="1:7" x14ac:dyDescent="0.35">
      <c r="A17" s="64">
        <v>2</v>
      </c>
      <c r="B17" s="66">
        <v>0</v>
      </c>
      <c r="C17">
        <v>1</v>
      </c>
      <c r="D17" s="67">
        <f t="array" ref="D17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7" s="58">
        <f t="array" ref="E17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7" s="58">
        <f t="array" ref="F1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7" s="60">
        <f t="array" ref="G17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8" spans="1:7" x14ac:dyDescent="0.35">
      <c r="A18" s="65">
        <v>2</v>
      </c>
      <c r="B18" s="66">
        <v>1</v>
      </c>
      <c r="C18">
        <v>1</v>
      </c>
      <c r="D18" s="67">
        <f t="array" ref="D18">+INDEX('OUTCOME MODEL'!$U$10:$Z$87,MATCH(Table1[[#This Row],[DRIVERS]]&amp;Table1[[#This Row],[DEMAND]],'OUTCOME MODEL'!$A$10:$A$87&amp;'OUTCOME MODEL'!$B$10:$B$87,0),MATCH(Table1[[#This Row],[CAPACITY]],'OUTCOME MODEL'!$U$9:$Z$9))</f>
        <v>7</v>
      </c>
      <c r="E18" s="58">
        <f t="array" ref="E18">+INDEX('OUTCOME MODEL'!$C$10:$H$87,MATCH(Table1[[#This Row],[DRIVERS]]&amp;Table1[[#This Row],[DEMAND]],'OUTCOME MODEL'!$A$10:$A$87&amp;'OUTCOME MODEL'!$B$10:$B$87,0),MATCH(Table1[[#This Row],[CAPACITY]],'OUTCOME MODEL'!$C$9:$H$9))</f>
        <v>0.4</v>
      </c>
      <c r="F18" s="58">
        <f t="array" ref="F1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8" s="60">
        <f t="array" ref="G18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19" spans="1:7" x14ac:dyDescent="0.35">
      <c r="A19" s="64">
        <v>2</v>
      </c>
      <c r="B19" s="66">
        <v>2</v>
      </c>
      <c r="C19">
        <v>1</v>
      </c>
      <c r="D19" s="67">
        <f t="array" ref="D19">+INDEX('OUTCOME MODEL'!$U$10:$Z$87,MATCH(Table1[[#This Row],[DRIVERS]]&amp;Table1[[#This Row],[DEMAND]],'OUTCOME MODEL'!$A$10:$A$87&amp;'OUTCOME MODEL'!$B$10:$B$87,0),MATCH(Table1[[#This Row],[CAPACITY]],'OUTCOME MODEL'!$U$9:$Z$9))</f>
        <v>11.375</v>
      </c>
      <c r="E19" s="58">
        <f t="array" ref="E19">+INDEX('OUTCOME MODEL'!$C$10:$H$87,MATCH(Table1[[#This Row],[DRIVERS]]&amp;Table1[[#This Row],[DEMAND]],'OUTCOME MODEL'!$A$10:$A$87&amp;'OUTCOME MODEL'!$B$10:$B$87,0),MATCH(Table1[[#This Row],[CAPACITY]],'OUTCOME MODEL'!$C$9:$H$9))</f>
        <v>0.65</v>
      </c>
      <c r="F19" s="58">
        <f t="array" ref="F1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9" s="60">
        <f t="array" ref="G19">+INDEX('OUTCOME MODEL'!$O$10:$T$87,MATCH(Table1[[#This Row],[DRIVERS]]&amp;Table1[[#This Row],[DEMAND]],'OUTCOME MODEL'!$A$10:$A$87&amp;'OUTCOME MODEL'!$B$10:$B$87,0),MATCH(Table1[[#This Row],[CAPACITY]],'OUTCOME MODEL'!$O$9:$T$9))</f>
        <v>0.65</v>
      </c>
    </row>
    <row r="20" spans="1:7" x14ac:dyDescent="0.35">
      <c r="A20" s="65">
        <v>2</v>
      </c>
      <c r="B20" s="66">
        <v>3</v>
      </c>
      <c r="C20">
        <v>1</v>
      </c>
      <c r="D20" s="67">
        <f t="array" ref="D20">+INDEX('OUTCOME MODEL'!$U$10:$Z$87,MATCH(Table1[[#This Row],[DRIVERS]]&amp;Table1[[#This Row],[DEMAND]],'OUTCOME MODEL'!$A$10:$A$87&amp;'OUTCOME MODEL'!$B$10:$B$87,0),MATCH(Table1[[#This Row],[CAPACITY]],'OUTCOME MODEL'!$U$9:$Z$9))</f>
        <v>14</v>
      </c>
      <c r="E20" s="58">
        <f t="array" ref="E20">+INDEX('OUTCOME MODEL'!$C$10:$H$87,MATCH(Table1[[#This Row],[DRIVERS]]&amp;Table1[[#This Row],[DEMAND]],'OUTCOME MODEL'!$A$10:$A$87&amp;'OUTCOME MODEL'!$B$10:$B$87,0),MATCH(Table1[[#This Row],[CAPACITY]],'OUTCOME MODEL'!$C$9:$H$9))</f>
        <v>0.8</v>
      </c>
      <c r="F20" s="58">
        <f t="array" ref="F2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0" s="60">
        <f t="array" ref="G20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21" spans="1:7" x14ac:dyDescent="0.35">
      <c r="A21" s="64">
        <v>2</v>
      </c>
      <c r="B21" s="66">
        <v>4</v>
      </c>
      <c r="C21">
        <v>1</v>
      </c>
      <c r="D21" s="67">
        <f t="array" ref="D21">+INDEX('OUTCOME MODEL'!$U$10:$Z$87,MATCH(Table1[[#This Row],[DRIVERS]]&amp;Table1[[#This Row],[DEMAND]],'OUTCOME MODEL'!$A$10:$A$87&amp;'OUTCOME MODEL'!$B$10:$B$87,0),MATCH(Table1[[#This Row],[CAPACITY]],'OUTCOME MODEL'!$U$9:$Z$9))</f>
        <v>15.225</v>
      </c>
      <c r="E21" s="58">
        <f t="array" ref="E21">+INDEX('OUTCOME MODEL'!$C$10:$H$87,MATCH(Table1[[#This Row],[DRIVERS]]&amp;Table1[[#This Row],[DEMAND]],'OUTCOME MODEL'!$A$10:$A$87&amp;'OUTCOME MODEL'!$B$10:$B$87,0),MATCH(Table1[[#This Row],[CAPACITY]],'OUTCOME MODEL'!$C$9:$H$9))</f>
        <v>0.87</v>
      </c>
      <c r="F21" s="58">
        <f t="array" ref="F2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1" s="60">
        <f t="array" ref="G21">+INDEX('OUTCOME MODEL'!$O$10:$T$87,MATCH(Table1[[#This Row],[DRIVERS]]&amp;Table1[[#This Row],[DEMAND]],'OUTCOME MODEL'!$A$10:$A$87&amp;'OUTCOME MODEL'!$B$10:$B$87,0),MATCH(Table1[[#This Row],[CAPACITY]],'OUTCOME MODEL'!$O$9:$T$9))</f>
        <v>0.87</v>
      </c>
    </row>
    <row r="22" spans="1:7" x14ac:dyDescent="0.35">
      <c r="A22" s="65">
        <v>2</v>
      </c>
      <c r="B22" s="66">
        <v>5</v>
      </c>
      <c r="C22">
        <v>1</v>
      </c>
      <c r="D22" s="67">
        <f t="array" ref="D22">+INDEX('OUTCOME MODEL'!$U$10:$Z$87,MATCH(Table1[[#This Row],[DRIVERS]]&amp;Table1[[#This Row],[DEMAND]],'OUTCOME MODEL'!$A$10:$A$87&amp;'OUTCOME MODEL'!$B$10:$B$87,0),MATCH(Table1[[#This Row],[CAPACITY]],'OUTCOME MODEL'!$U$9:$Z$9))</f>
        <v>16.100000000000001</v>
      </c>
      <c r="E22" s="58">
        <f t="array" ref="E22">+INDEX('OUTCOME MODEL'!$C$10:$H$87,MATCH(Table1[[#This Row],[DRIVERS]]&amp;Table1[[#This Row],[DEMAND]],'OUTCOME MODEL'!$A$10:$A$87&amp;'OUTCOME MODEL'!$B$10:$B$87,0),MATCH(Table1[[#This Row],[CAPACITY]],'OUTCOME MODEL'!$C$9:$H$9))</f>
        <v>0.92</v>
      </c>
      <c r="F22" s="58">
        <f t="array" ref="F2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2" s="60">
        <f t="array" ref="G22">+INDEX('OUTCOME MODEL'!$O$10:$T$87,MATCH(Table1[[#This Row],[DRIVERS]]&amp;Table1[[#This Row],[DEMAND]],'OUTCOME MODEL'!$A$10:$A$87&amp;'OUTCOME MODEL'!$B$10:$B$87,0),MATCH(Table1[[#This Row],[CAPACITY]],'OUTCOME MODEL'!$O$9:$T$9))</f>
        <v>0.92</v>
      </c>
    </row>
    <row r="23" spans="1:7" x14ac:dyDescent="0.35">
      <c r="A23" s="64">
        <v>2</v>
      </c>
      <c r="B23" s="66">
        <v>6</v>
      </c>
      <c r="C23">
        <v>1</v>
      </c>
      <c r="D23" s="67">
        <f t="array" ref="D23">+INDEX('OUTCOME MODEL'!$U$10:$Z$87,MATCH(Table1[[#This Row],[DRIVERS]]&amp;Table1[[#This Row],[DEMAND]],'OUTCOME MODEL'!$A$10:$A$87&amp;'OUTCOME MODEL'!$B$10:$B$87,0),MATCH(Table1[[#This Row],[CAPACITY]],'OUTCOME MODEL'!$U$9:$Z$9))</f>
        <v>17.149999999999999</v>
      </c>
      <c r="E23" s="58">
        <f t="array" ref="E23">+INDEX('OUTCOME MODEL'!$C$10:$H$87,MATCH(Table1[[#This Row],[DRIVERS]]&amp;Table1[[#This Row],[DEMAND]],'OUTCOME MODEL'!$A$10:$A$87&amp;'OUTCOME MODEL'!$B$10:$B$87,0),MATCH(Table1[[#This Row],[CAPACITY]],'OUTCOME MODEL'!$C$9:$H$9))</f>
        <v>0.98</v>
      </c>
      <c r="F23" s="58">
        <f t="array" ref="F2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3" s="60">
        <f t="array" ref="G23">+INDEX('OUTCOME MODEL'!$O$10:$T$87,MATCH(Table1[[#This Row],[DRIVERS]]&amp;Table1[[#This Row],[DEMAND]],'OUTCOME MODEL'!$A$10:$A$87&amp;'OUTCOME MODEL'!$B$10:$B$87,0),MATCH(Table1[[#This Row],[CAPACITY]],'OUTCOME MODEL'!$O$9:$T$9))</f>
        <v>0.98</v>
      </c>
    </row>
    <row r="24" spans="1:7" x14ac:dyDescent="0.35">
      <c r="A24" s="65">
        <v>2</v>
      </c>
      <c r="B24" s="66">
        <v>7</v>
      </c>
      <c r="C24">
        <v>1</v>
      </c>
      <c r="D24" s="67">
        <f t="array" ref="D24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4" s="58">
        <f t="array" ref="E24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4" s="58">
        <f t="array" ref="F2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4" s="60">
        <f t="array" ref="G24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5" spans="1:7" x14ac:dyDescent="0.35">
      <c r="A25" s="64">
        <v>2</v>
      </c>
      <c r="B25" s="66">
        <v>8</v>
      </c>
      <c r="C25">
        <v>1</v>
      </c>
      <c r="D25" s="67">
        <f t="array" ref="D25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5" s="58">
        <f t="array" ref="E25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5" s="58">
        <f t="array" ref="F2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5" s="60">
        <f t="array" ref="G2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6" spans="1:7" x14ac:dyDescent="0.35">
      <c r="A26" s="65">
        <v>2</v>
      </c>
      <c r="B26" s="66">
        <v>9</v>
      </c>
      <c r="C26">
        <v>1</v>
      </c>
      <c r="D26" s="67">
        <f t="array" ref="D26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6" s="58">
        <f t="array" ref="E26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6" s="58">
        <f t="array" ref="F2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6" s="60">
        <f t="array" ref="G26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7" spans="1:7" x14ac:dyDescent="0.35">
      <c r="A27" s="69">
        <v>2</v>
      </c>
      <c r="B27" s="70">
        <v>10</v>
      </c>
      <c r="C27">
        <v>1</v>
      </c>
      <c r="D27" s="67">
        <f t="array" ref="D27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7" s="58">
        <f t="array" ref="E27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7" s="58">
        <f t="array" ref="F2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7" s="60">
        <f t="array" ref="G2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8" spans="1:7" x14ac:dyDescent="0.35">
      <c r="A28" s="65">
        <v>2</v>
      </c>
      <c r="B28" s="66">
        <v>11</v>
      </c>
      <c r="C28">
        <v>1</v>
      </c>
      <c r="D28" s="67">
        <f t="array" ref="D28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8" s="58">
        <f t="array" ref="E28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8" s="58">
        <f t="array" ref="F2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8" s="60">
        <f t="array" ref="G28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9" spans="1:7" x14ac:dyDescent="0.35">
      <c r="A29" s="64">
        <v>2</v>
      </c>
      <c r="B29" s="66">
        <v>12</v>
      </c>
      <c r="C29">
        <v>1</v>
      </c>
      <c r="D29" s="67">
        <f t="array" ref="D29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9" s="58">
        <f t="array" ref="E29">+INDEX('OUTCOME MODEL'!$C$10:$H$87,MATCH(Table1[[#This Row],[DRIVERS]]&amp;Table1[[#This Row],[DEMAND]],'OUTCOME MODEL'!$A$10:$A$87&amp;'OUTCOME MODEL'!$B$10:$B$87,0),MATCH(Table1[[#This Row],[CAPACITY]],'OUTCOME MODEL'!$C$9:$H$9))</f>
        <v>1</v>
      </c>
      <c r="F29" s="58">
        <f t="array" ref="F2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9" s="60">
        <f t="array" ref="G2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0" spans="1:7" x14ac:dyDescent="0.35">
      <c r="A30" s="64">
        <v>3</v>
      </c>
      <c r="B30" s="66">
        <v>0</v>
      </c>
      <c r="C30">
        <v>1</v>
      </c>
      <c r="D30" s="67">
        <f t="array" ref="D30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0" s="58">
        <f t="array" ref="E30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0" s="58">
        <f t="array" ref="F3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0" s="60">
        <f t="array" ref="G30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1" spans="1:7" x14ac:dyDescent="0.35">
      <c r="A31" s="65">
        <v>3</v>
      </c>
      <c r="B31" s="66">
        <v>1</v>
      </c>
      <c r="C31">
        <v>1</v>
      </c>
      <c r="D31" s="67">
        <f t="array" ref="D31">+INDEX('OUTCOME MODEL'!$U$10:$Z$87,MATCH(Table1[[#This Row],[DRIVERS]]&amp;Table1[[#This Row],[DEMAND]],'OUTCOME MODEL'!$A$10:$A$87&amp;'OUTCOME MODEL'!$B$10:$B$87,0),MATCH(Table1[[#This Row],[CAPACITY]],'OUTCOME MODEL'!$U$9:$Z$9))</f>
        <v>7.8749999999999991</v>
      </c>
      <c r="E31" s="58">
        <f t="array" ref="E31">+INDEX('OUTCOME MODEL'!$C$10:$H$87,MATCH(Table1[[#This Row],[DRIVERS]]&amp;Table1[[#This Row],[DEMAND]],'OUTCOME MODEL'!$A$10:$A$87&amp;'OUTCOME MODEL'!$B$10:$B$87,0),MATCH(Table1[[#This Row],[CAPACITY]],'OUTCOME MODEL'!$C$9:$H$9))</f>
        <v>0.3</v>
      </c>
      <c r="F31" s="58">
        <f t="array" ref="F3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1" s="60">
        <f t="array" ref="G31">+INDEX('OUTCOME MODEL'!$O$10:$T$87,MATCH(Table1[[#This Row],[DRIVERS]]&amp;Table1[[#This Row],[DEMAND]],'OUTCOME MODEL'!$A$10:$A$87&amp;'OUTCOME MODEL'!$B$10:$B$87,0),MATCH(Table1[[#This Row],[CAPACITY]],'OUTCOME MODEL'!$O$9:$T$9))</f>
        <v>0.3</v>
      </c>
    </row>
    <row r="32" spans="1:7" x14ac:dyDescent="0.35">
      <c r="A32" s="64">
        <v>3</v>
      </c>
      <c r="B32" s="66">
        <v>2</v>
      </c>
      <c r="C32">
        <v>1</v>
      </c>
      <c r="D32" s="67">
        <f t="array" ref="D32">+INDEX('OUTCOME MODEL'!$U$10:$Z$87,MATCH(Table1[[#This Row],[DRIVERS]]&amp;Table1[[#This Row],[DEMAND]],'OUTCOME MODEL'!$A$10:$A$87&amp;'OUTCOME MODEL'!$B$10:$B$87,0),MATCH(Table1[[#This Row],[CAPACITY]],'OUTCOME MODEL'!$U$9:$Z$9))</f>
        <v>13.9125</v>
      </c>
      <c r="E32" s="58">
        <f t="array" ref="E32">+INDEX('OUTCOME MODEL'!$C$10:$H$87,MATCH(Table1[[#This Row],[DRIVERS]]&amp;Table1[[#This Row],[DEMAND]],'OUTCOME MODEL'!$A$10:$A$87&amp;'OUTCOME MODEL'!$B$10:$B$87,0),MATCH(Table1[[#This Row],[CAPACITY]],'OUTCOME MODEL'!$C$9:$H$9))</f>
        <v>0.53</v>
      </c>
      <c r="F32" s="58">
        <f t="array" ref="F3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2" s="60">
        <f t="array" ref="G32">+INDEX('OUTCOME MODEL'!$O$10:$T$87,MATCH(Table1[[#This Row],[DRIVERS]]&amp;Table1[[#This Row],[DEMAND]],'OUTCOME MODEL'!$A$10:$A$87&amp;'OUTCOME MODEL'!$B$10:$B$87,0),MATCH(Table1[[#This Row],[CAPACITY]],'OUTCOME MODEL'!$O$9:$T$9))</f>
        <v>0.53</v>
      </c>
    </row>
    <row r="33" spans="1:7" x14ac:dyDescent="0.35">
      <c r="A33" s="65">
        <v>3</v>
      </c>
      <c r="B33" s="66">
        <v>3</v>
      </c>
      <c r="C33">
        <v>1</v>
      </c>
      <c r="D33" s="67">
        <f t="array" ref="D33">+INDEX('OUTCOME MODEL'!$U$10:$Z$87,MATCH(Table1[[#This Row],[DRIVERS]]&amp;Table1[[#This Row],[DEMAND]],'OUTCOME MODEL'!$A$10:$A$87&amp;'OUTCOME MODEL'!$B$10:$B$87,0),MATCH(Table1[[#This Row],[CAPACITY]],'OUTCOME MODEL'!$U$9:$Z$9))</f>
        <v>18.112500000000001</v>
      </c>
      <c r="E33" s="58">
        <f t="array" ref="E33">+INDEX('OUTCOME MODEL'!$C$10:$H$87,MATCH(Table1[[#This Row],[DRIVERS]]&amp;Table1[[#This Row],[DEMAND]],'OUTCOME MODEL'!$A$10:$A$87&amp;'OUTCOME MODEL'!$B$10:$B$87,0),MATCH(Table1[[#This Row],[CAPACITY]],'OUTCOME MODEL'!$C$9:$H$9))</f>
        <v>0.69</v>
      </c>
      <c r="F33" s="58">
        <f t="array" ref="F3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3" s="60">
        <f t="array" ref="G33">+INDEX('OUTCOME MODEL'!$O$10:$T$87,MATCH(Table1[[#This Row],[DRIVERS]]&amp;Table1[[#This Row],[DEMAND]],'OUTCOME MODEL'!$A$10:$A$87&amp;'OUTCOME MODEL'!$B$10:$B$87,0),MATCH(Table1[[#This Row],[CAPACITY]],'OUTCOME MODEL'!$O$9:$T$9))</f>
        <v>0.69</v>
      </c>
    </row>
    <row r="34" spans="1:7" x14ac:dyDescent="0.35">
      <c r="A34" s="64">
        <v>3</v>
      </c>
      <c r="B34" s="66">
        <v>4</v>
      </c>
      <c r="C34">
        <v>1</v>
      </c>
      <c r="D34" s="67">
        <f t="array" ref="D34">+INDEX('OUTCOME MODEL'!$U$10:$Z$87,MATCH(Table1[[#This Row],[DRIVERS]]&amp;Table1[[#This Row],[DEMAND]],'OUTCOME MODEL'!$A$10:$A$87&amp;'OUTCOME MODEL'!$B$10:$B$87,0),MATCH(Table1[[#This Row],[CAPACITY]],'OUTCOME MODEL'!$U$9:$Z$9))</f>
        <v>20.475000000000001</v>
      </c>
      <c r="E34" s="58">
        <f t="array" ref="E34">+INDEX('OUTCOME MODEL'!$C$10:$H$87,MATCH(Table1[[#This Row],[DRIVERS]]&amp;Table1[[#This Row],[DEMAND]],'OUTCOME MODEL'!$A$10:$A$87&amp;'OUTCOME MODEL'!$B$10:$B$87,0),MATCH(Table1[[#This Row],[CAPACITY]],'OUTCOME MODEL'!$C$9:$H$9))</f>
        <v>0.78</v>
      </c>
      <c r="F34" s="58">
        <f t="array" ref="F3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4" s="60">
        <f t="array" ref="G34">+INDEX('OUTCOME MODEL'!$O$10:$T$87,MATCH(Table1[[#This Row],[DRIVERS]]&amp;Table1[[#This Row],[DEMAND]],'OUTCOME MODEL'!$A$10:$A$87&amp;'OUTCOME MODEL'!$B$10:$B$87,0),MATCH(Table1[[#This Row],[CAPACITY]],'OUTCOME MODEL'!$O$9:$T$9))</f>
        <v>0.78</v>
      </c>
    </row>
    <row r="35" spans="1:7" x14ac:dyDescent="0.35">
      <c r="A35" s="65">
        <v>3</v>
      </c>
      <c r="B35" s="66">
        <v>5</v>
      </c>
      <c r="C35">
        <v>1</v>
      </c>
      <c r="D35" s="67">
        <f t="array" ref="D35">+INDEX('OUTCOME MODEL'!$U$10:$Z$87,MATCH(Table1[[#This Row],[DRIVERS]]&amp;Table1[[#This Row],[DEMAND]],'OUTCOME MODEL'!$A$10:$A$87&amp;'OUTCOME MODEL'!$B$10:$B$87,0),MATCH(Table1[[#This Row],[CAPACITY]],'OUTCOME MODEL'!$U$9:$Z$9))</f>
        <v>22.574999999999999</v>
      </c>
      <c r="E35" s="58">
        <f t="array" ref="E35">+INDEX('OUTCOME MODEL'!$C$10:$H$87,MATCH(Table1[[#This Row],[DRIVERS]]&amp;Table1[[#This Row],[DEMAND]],'OUTCOME MODEL'!$A$10:$A$87&amp;'OUTCOME MODEL'!$B$10:$B$87,0),MATCH(Table1[[#This Row],[CAPACITY]],'OUTCOME MODEL'!$C$9:$H$9))</f>
        <v>0.86</v>
      </c>
      <c r="F35" s="58">
        <f t="array" ref="F3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5" s="60">
        <f t="array" ref="G35">+INDEX('OUTCOME MODEL'!$O$10:$T$87,MATCH(Table1[[#This Row],[DRIVERS]]&amp;Table1[[#This Row],[DEMAND]],'OUTCOME MODEL'!$A$10:$A$87&amp;'OUTCOME MODEL'!$B$10:$B$87,0),MATCH(Table1[[#This Row],[CAPACITY]],'OUTCOME MODEL'!$O$9:$T$9))</f>
        <v>0.86</v>
      </c>
    </row>
    <row r="36" spans="1:7" x14ac:dyDescent="0.35">
      <c r="A36" s="64">
        <v>3</v>
      </c>
      <c r="B36" s="66">
        <v>6</v>
      </c>
      <c r="C36">
        <v>1</v>
      </c>
      <c r="D36" s="67">
        <f t="array" ref="D36">+INDEX('OUTCOME MODEL'!$U$10:$Z$87,MATCH(Table1[[#This Row],[DRIVERS]]&amp;Table1[[#This Row],[DEMAND]],'OUTCOME MODEL'!$A$10:$A$87&amp;'OUTCOME MODEL'!$B$10:$B$87,0),MATCH(Table1[[#This Row],[CAPACITY]],'OUTCOME MODEL'!$U$9:$Z$9))</f>
        <v>23.362500000000001</v>
      </c>
      <c r="E36" s="58">
        <f t="array" ref="E36">+INDEX('OUTCOME MODEL'!$C$10:$H$87,MATCH(Table1[[#This Row],[DRIVERS]]&amp;Table1[[#This Row],[DEMAND]],'OUTCOME MODEL'!$A$10:$A$87&amp;'OUTCOME MODEL'!$B$10:$B$87,0),MATCH(Table1[[#This Row],[CAPACITY]],'OUTCOME MODEL'!$C$9:$H$9))</f>
        <v>0.89</v>
      </c>
      <c r="F36" s="58">
        <f t="array" ref="F3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6" s="60">
        <f t="array" ref="G36">+INDEX('OUTCOME MODEL'!$O$10:$T$87,MATCH(Table1[[#This Row],[DRIVERS]]&amp;Table1[[#This Row],[DEMAND]],'OUTCOME MODEL'!$A$10:$A$87&amp;'OUTCOME MODEL'!$B$10:$B$87,0),MATCH(Table1[[#This Row],[CAPACITY]],'OUTCOME MODEL'!$O$9:$T$9))</f>
        <v>0.89</v>
      </c>
    </row>
    <row r="37" spans="1:7" x14ac:dyDescent="0.35">
      <c r="A37" s="65">
        <v>3</v>
      </c>
      <c r="B37" s="66">
        <v>7</v>
      </c>
      <c r="C37">
        <v>1</v>
      </c>
      <c r="D37" s="67">
        <f t="array" ref="D37">+INDEX('OUTCOME MODEL'!$U$10:$Z$87,MATCH(Table1[[#This Row],[DRIVERS]]&amp;Table1[[#This Row],[DEMAND]],'OUTCOME MODEL'!$A$10:$A$87&amp;'OUTCOME MODEL'!$B$10:$B$87,0),MATCH(Table1[[#This Row],[CAPACITY]],'OUTCOME MODEL'!$U$9:$Z$9))</f>
        <v>24.675000000000001</v>
      </c>
      <c r="E37" s="58">
        <f t="array" ref="E37">+INDEX('OUTCOME MODEL'!$C$10:$H$87,MATCH(Table1[[#This Row],[DRIVERS]]&amp;Table1[[#This Row],[DEMAND]],'OUTCOME MODEL'!$A$10:$A$87&amp;'OUTCOME MODEL'!$B$10:$B$87,0),MATCH(Table1[[#This Row],[CAPACITY]],'OUTCOME MODEL'!$C$9:$H$9))</f>
        <v>0.94</v>
      </c>
      <c r="F37" s="58">
        <f t="array" ref="F3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7" s="60">
        <f t="array" ref="G37">+INDEX('OUTCOME MODEL'!$O$10:$T$87,MATCH(Table1[[#This Row],[DRIVERS]]&amp;Table1[[#This Row],[DEMAND]],'OUTCOME MODEL'!$A$10:$A$87&amp;'OUTCOME MODEL'!$B$10:$B$87,0),MATCH(Table1[[#This Row],[CAPACITY]],'OUTCOME MODEL'!$O$9:$T$9))</f>
        <v>0.94</v>
      </c>
    </row>
    <row r="38" spans="1:7" x14ac:dyDescent="0.35">
      <c r="A38" s="64">
        <v>3</v>
      </c>
      <c r="B38" s="66">
        <v>8</v>
      </c>
      <c r="C38">
        <v>1</v>
      </c>
      <c r="D38" s="67">
        <f t="array" ref="D38">+INDEX('OUTCOME MODEL'!$U$10:$Z$87,MATCH(Table1[[#This Row],[DRIVERS]]&amp;Table1[[#This Row],[DEMAND]],'OUTCOME MODEL'!$A$10:$A$87&amp;'OUTCOME MODEL'!$B$10:$B$87,0),MATCH(Table1[[#This Row],[CAPACITY]],'OUTCOME MODEL'!$U$9:$Z$9))</f>
        <v>24.937499999999996</v>
      </c>
      <c r="E38" s="58">
        <f t="array" ref="E38">+INDEX('OUTCOME MODEL'!$C$10:$H$87,MATCH(Table1[[#This Row],[DRIVERS]]&amp;Table1[[#This Row],[DEMAND]],'OUTCOME MODEL'!$A$10:$A$87&amp;'OUTCOME MODEL'!$B$10:$B$87,0),MATCH(Table1[[#This Row],[CAPACITY]],'OUTCOME MODEL'!$C$9:$H$9))</f>
        <v>0.95</v>
      </c>
      <c r="F38" s="58">
        <f t="array" ref="F3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8" s="60">
        <f t="array" ref="G38">+INDEX('OUTCOME MODEL'!$O$10:$T$87,MATCH(Table1[[#This Row],[DRIVERS]]&amp;Table1[[#This Row],[DEMAND]],'OUTCOME MODEL'!$A$10:$A$87&amp;'OUTCOME MODEL'!$B$10:$B$87,0),MATCH(Table1[[#This Row],[CAPACITY]],'OUTCOME MODEL'!$O$9:$T$9))</f>
        <v>0.95</v>
      </c>
    </row>
    <row r="39" spans="1:7" x14ac:dyDescent="0.35">
      <c r="A39" s="69">
        <v>3</v>
      </c>
      <c r="B39" s="70">
        <v>9</v>
      </c>
      <c r="C39">
        <v>1</v>
      </c>
      <c r="D39" s="67">
        <f t="array" ref="D39">+INDEX('OUTCOME MODEL'!$U$10:$Z$87,MATCH(Table1[[#This Row],[DRIVERS]]&amp;Table1[[#This Row],[DEMAND]],'OUTCOME MODEL'!$A$10:$A$87&amp;'OUTCOME MODEL'!$B$10:$B$87,0),MATCH(Table1[[#This Row],[CAPACITY]],'OUTCOME MODEL'!$U$9:$Z$9))</f>
        <v>25.725000000000001</v>
      </c>
      <c r="E39" s="58">
        <f t="array" ref="E39">+INDEX('OUTCOME MODEL'!$C$10:$H$87,MATCH(Table1[[#This Row],[DRIVERS]]&amp;Table1[[#This Row],[DEMAND]],'OUTCOME MODEL'!$A$10:$A$87&amp;'OUTCOME MODEL'!$B$10:$B$87,0),MATCH(Table1[[#This Row],[CAPACITY]],'OUTCOME MODEL'!$C$9:$H$9))</f>
        <v>0.98</v>
      </c>
      <c r="F39" s="58">
        <f t="array" ref="F3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9" s="60">
        <f t="array" ref="G39">+INDEX('OUTCOME MODEL'!$O$10:$T$87,MATCH(Table1[[#This Row],[DRIVERS]]&amp;Table1[[#This Row],[DEMAND]],'OUTCOME MODEL'!$A$10:$A$87&amp;'OUTCOME MODEL'!$B$10:$B$87,0),MATCH(Table1[[#This Row],[CAPACITY]],'OUTCOME MODEL'!$O$9:$T$9))</f>
        <v>0.98</v>
      </c>
    </row>
    <row r="40" spans="1:7" x14ac:dyDescent="0.35">
      <c r="A40" s="64">
        <v>3</v>
      </c>
      <c r="B40" s="66">
        <v>10</v>
      </c>
      <c r="C40">
        <v>1</v>
      </c>
      <c r="D40" s="67">
        <f t="array" ref="D40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0" s="58">
        <f t="array" ref="E40">+INDEX('OUTCOME MODEL'!$C$10:$H$87,MATCH(Table1[[#This Row],[DRIVERS]]&amp;Table1[[#This Row],[DEMAND]],'OUTCOME MODEL'!$A$10:$A$87&amp;'OUTCOME MODEL'!$B$10:$B$87,0),MATCH(Table1[[#This Row],[CAPACITY]],'OUTCOME MODEL'!$C$9:$H$9))</f>
        <v>1</v>
      </c>
      <c r="F40" s="58">
        <f t="array" ref="F4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0" s="60">
        <f t="array" ref="G40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1" spans="1:7" x14ac:dyDescent="0.35">
      <c r="A41" s="65">
        <v>3</v>
      </c>
      <c r="B41" s="66">
        <v>11</v>
      </c>
      <c r="C41">
        <v>1</v>
      </c>
      <c r="D41" s="67">
        <f t="array" ref="D41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1" s="58">
        <f t="array" ref="E41">+INDEX('OUTCOME MODEL'!$C$10:$H$87,MATCH(Table1[[#This Row],[DRIVERS]]&amp;Table1[[#This Row],[DEMAND]],'OUTCOME MODEL'!$A$10:$A$87&amp;'OUTCOME MODEL'!$B$10:$B$87,0),MATCH(Table1[[#This Row],[CAPACITY]],'OUTCOME MODEL'!$C$9:$H$9))</f>
        <v>1</v>
      </c>
      <c r="F41" s="58">
        <f t="array" ref="F4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1" s="60">
        <f t="array" ref="G4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2" spans="1:7" x14ac:dyDescent="0.35">
      <c r="A42" s="64">
        <v>3</v>
      </c>
      <c r="B42" s="66">
        <v>12</v>
      </c>
      <c r="C42">
        <v>1</v>
      </c>
      <c r="D42" s="67">
        <f t="array" ref="D42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2" s="58">
        <f t="array" ref="E42">+INDEX('OUTCOME MODEL'!$C$10:$H$87,MATCH(Table1[[#This Row],[DRIVERS]]&amp;Table1[[#This Row],[DEMAND]],'OUTCOME MODEL'!$A$10:$A$87&amp;'OUTCOME MODEL'!$B$10:$B$87,0),MATCH(Table1[[#This Row],[CAPACITY]],'OUTCOME MODEL'!$C$9:$H$9))</f>
        <v>1</v>
      </c>
      <c r="F42" s="58">
        <f t="array" ref="F4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2" s="60">
        <f t="array" ref="G42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3" spans="1:7" x14ac:dyDescent="0.35">
      <c r="A43" s="64">
        <v>4</v>
      </c>
      <c r="B43" s="66">
        <v>0</v>
      </c>
      <c r="C43">
        <v>1</v>
      </c>
      <c r="D43" s="67">
        <f t="array" ref="D43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3" s="58">
        <f t="array" ref="E43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3" s="58">
        <f t="array" ref="F4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3" s="60">
        <f t="array" ref="G43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4" spans="1:7" x14ac:dyDescent="0.35">
      <c r="A44" s="64">
        <v>4</v>
      </c>
      <c r="B44" s="66">
        <v>1</v>
      </c>
      <c r="C44">
        <v>1</v>
      </c>
      <c r="D44" s="67">
        <f t="array" ref="D44">+INDEX('OUTCOME MODEL'!$U$10:$Z$87,MATCH(Table1[[#This Row],[DRIVERS]]&amp;Table1[[#This Row],[DEMAND]],'OUTCOME MODEL'!$A$10:$A$87&amp;'OUTCOME MODEL'!$B$10:$B$87,0),MATCH(Table1[[#This Row],[CAPACITY]],'OUTCOME MODEL'!$U$9:$Z$9))</f>
        <v>8.0500000000000007</v>
      </c>
      <c r="E44" s="58">
        <f t="array" ref="E44">+INDEX('OUTCOME MODEL'!$C$10:$H$87,MATCH(Table1[[#This Row],[DRIVERS]]&amp;Table1[[#This Row],[DEMAND]],'OUTCOME MODEL'!$A$10:$A$87&amp;'OUTCOME MODEL'!$B$10:$B$87,0),MATCH(Table1[[#This Row],[CAPACITY]],'OUTCOME MODEL'!$C$9:$H$9))</f>
        <v>0.23</v>
      </c>
      <c r="F44" s="58">
        <f t="array" ref="F4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4" s="60">
        <f t="array" ref="G44">+INDEX('OUTCOME MODEL'!$O$10:$T$87,MATCH(Table1[[#This Row],[DRIVERS]]&amp;Table1[[#This Row],[DEMAND]],'OUTCOME MODEL'!$A$10:$A$87&amp;'OUTCOME MODEL'!$B$10:$B$87,0),MATCH(Table1[[#This Row],[CAPACITY]],'OUTCOME MODEL'!$O$9:$T$9))</f>
        <v>0.23</v>
      </c>
    </row>
    <row r="45" spans="1:7" x14ac:dyDescent="0.35">
      <c r="A45" s="64">
        <v>4</v>
      </c>
      <c r="B45" s="66">
        <v>2</v>
      </c>
      <c r="C45">
        <v>1</v>
      </c>
      <c r="D45" s="67">
        <f t="array" ref="D45">+INDEX('OUTCOME MODEL'!$U$10:$Z$87,MATCH(Table1[[#This Row],[DRIVERS]]&amp;Table1[[#This Row],[DEMAND]],'OUTCOME MODEL'!$A$10:$A$87&amp;'OUTCOME MODEL'!$B$10:$B$87,0),MATCH(Table1[[#This Row],[CAPACITY]],'OUTCOME MODEL'!$U$9:$Z$9))</f>
        <v>15.4</v>
      </c>
      <c r="E45" s="58">
        <f t="array" ref="E45">+INDEX('OUTCOME MODEL'!$C$10:$H$87,MATCH(Table1[[#This Row],[DRIVERS]]&amp;Table1[[#This Row],[DEMAND]],'OUTCOME MODEL'!$A$10:$A$87&amp;'OUTCOME MODEL'!$B$10:$B$87,0),MATCH(Table1[[#This Row],[CAPACITY]],'OUTCOME MODEL'!$C$9:$H$9))</f>
        <v>0.44</v>
      </c>
      <c r="F45" s="58">
        <f t="array" ref="F4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5" s="60">
        <f t="array" ref="G45">+INDEX('OUTCOME MODEL'!$O$10:$T$87,MATCH(Table1[[#This Row],[DRIVERS]]&amp;Table1[[#This Row],[DEMAND]],'OUTCOME MODEL'!$A$10:$A$87&amp;'OUTCOME MODEL'!$B$10:$B$87,0),MATCH(Table1[[#This Row],[CAPACITY]],'OUTCOME MODEL'!$O$9:$T$9))</f>
        <v>0.44</v>
      </c>
    </row>
    <row r="46" spans="1:7" x14ac:dyDescent="0.35">
      <c r="A46" s="64">
        <v>4</v>
      </c>
      <c r="B46" s="66">
        <v>3</v>
      </c>
      <c r="C46">
        <v>1</v>
      </c>
      <c r="D46" s="67">
        <f t="array" ref="D46">+INDEX('OUTCOME MODEL'!$U$10:$Z$87,MATCH(Table1[[#This Row],[DRIVERS]]&amp;Table1[[#This Row],[DEMAND]],'OUTCOME MODEL'!$A$10:$A$87&amp;'OUTCOME MODEL'!$B$10:$B$87,0),MATCH(Table1[[#This Row],[CAPACITY]],'OUTCOME MODEL'!$U$9:$Z$9))</f>
        <v>20.3</v>
      </c>
      <c r="E46" s="58">
        <f t="array" ref="E46">+INDEX('OUTCOME MODEL'!$C$10:$H$87,MATCH(Table1[[#This Row],[DRIVERS]]&amp;Table1[[#This Row],[DEMAND]],'OUTCOME MODEL'!$A$10:$A$87&amp;'OUTCOME MODEL'!$B$10:$B$87,0),MATCH(Table1[[#This Row],[CAPACITY]],'OUTCOME MODEL'!$C$9:$H$9))</f>
        <v>0.57999999999999996</v>
      </c>
      <c r="F46" s="58">
        <f t="array" ref="F4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6" s="60">
        <f t="array" ref="G46">+INDEX('OUTCOME MODEL'!$O$10:$T$87,MATCH(Table1[[#This Row],[DRIVERS]]&amp;Table1[[#This Row],[DEMAND]],'OUTCOME MODEL'!$A$10:$A$87&amp;'OUTCOME MODEL'!$B$10:$B$87,0),MATCH(Table1[[#This Row],[CAPACITY]],'OUTCOME MODEL'!$O$9:$T$9))</f>
        <v>0.57999999999999996</v>
      </c>
    </row>
    <row r="47" spans="1:7" x14ac:dyDescent="0.35">
      <c r="A47" s="64">
        <v>4</v>
      </c>
      <c r="B47" s="66">
        <v>4</v>
      </c>
      <c r="C47">
        <v>1</v>
      </c>
      <c r="D47" s="67">
        <f t="array" ref="D47">+INDEX('OUTCOME MODEL'!$U$10:$Z$87,MATCH(Table1[[#This Row],[DRIVERS]]&amp;Table1[[#This Row],[DEMAND]],'OUTCOME MODEL'!$A$10:$A$87&amp;'OUTCOME MODEL'!$B$10:$B$87,0),MATCH(Table1[[#This Row],[CAPACITY]],'OUTCOME MODEL'!$U$9:$Z$9))</f>
        <v>24.5</v>
      </c>
      <c r="E47" s="58">
        <f t="array" ref="E47">+INDEX('OUTCOME MODEL'!$C$10:$H$87,MATCH(Table1[[#This Row],[DRIVERS]]&amp;Table1[[#This Row],[DEMAND]],'OUTCOME MODEL'!$A$10:$A$87&amp;'OUTCOME MODEL'!$B$10:$B$87,0),MATCH(Table1[[#This Row],[CAPACITY]],'OUTCOME MODEL'!$C$9:$H$9))</f>
        <v>0.7</v>
      </c>
      <c r="F47" s="58">
        <f t="array" ref="F4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7" s="60">
        <f t="array" ref="G47">+INDEX('OUTCOME MODEL'!$O$10:$T$87,MATCH(Table1[[#This Row],[DRIVERS]]&amp;Table1[[#This Row],[DEMAND]],'OUTCOME MODEL'!$A$10:$A$87&amp;'OUTCOME MODEL'!$B$10:$B$87,0),MATCH(Table1[[#This Row],[CAPACITY]],'OUTCOME MODEL'!$O$9:$T$9))</f>
        <v>0.7</v>
      </c>
    </row>
    <row r="48" spans="1:7" x14ac:dyDescent="0.35">
      <c r="A48" s="64">
        <v>4</v>
      </c>
      <c r="B48" s="66">
        <v>5</v>
      </c>
      <c r="C48">
        <v>1</v>
      </c>
      <c r="D48" s="67">
        <f t="array" ref="D48">+INDEX('OUTCOME MODEL'!$U$10:$Z$87,MATCH(Table1[[#This Row],[DRIVERS]]&amp;Table1[[#This Row],[DEMAND]],'OUTCOME MODEL'!$A$10:$A$87&amp;'OUTCOME MODEL'!$B$10:$B$87,0),MATCH(Table1[[#This Row],[CAPACITY]],'OUTCOME MODEL'!$U$9:$Z$9))</f>
        <v>27.300000000000004</v>
      </c>
      <c r="E48" s="58">
        <f t="array" ref="E48">+INDEX('OUTCOME MODEL'!$C$10:$H$87,MATCH(Table1[[#This Row],[DRIVERS]]&amp;Table1[[#This Row],[DEMAND]],'OUTCOME MODEL'!$A$10:$A$87&amp;'OUTCOME MODEL'!$B$10:$B$87,0),MATCH(Table1[[#This Row],[CAPACITY]],'OUTCOME MODEL'!$C$9:$H$9))</f>
        <v>0.78</v>
      </c>
      <c r="F48" s="58">
        <f t="array" ref="F4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8" s="60">
        <f t="array" ref="G48">+INDEX('OUTCOME MODEL'!$O$10:$T$87,MATCH(Table1[[#This Row],[DRIVERS]]&amp;Table1[[#This Row],[DEMAND]],'OUTCOME MODEL'!$A$10:$A$87&amp;'OUTCOME MODEL'!$B$10:$B$87,0),MATCH(Table1[[#This Row],[CAPACITY]],'OUTCOME MODEL'!$O$9:$T$9))</f>
        <v>0.78</v>
      </c>
    </row>
    <row r="49" spans="1:7" x14ac:dyDescent="0.35">
      <c r="A49" s="64">
        <v>4</v>
      </c>
      <c r="B49" s="66">
        <v>6</v>
      </c>
      <c r="C49">
        <v>1</v>
      </c>
      <c r="D49" s="67">
        <f t="array" ref="D49">+INDEX('OUTCOME MODEL'!$U$10:$Z$87,MATCH(Table1[[#This Row],[DRIVERS]]&amp;Table1[[#This Row],[DEMAND]],'OUTCOME MODEL'!$A$10:$A$87&amp;'OUTCOME MODEL'!$B$10:$B$87,0),MATCH(Table1[[#This Row],[CAPACITY]],'OUTCOME MODEL'!$U$9:$Z$9))</f>
        <v>29.399999999999995</v>
      </c>
      <c r="E49" s="58">
        <f t="array" ref="E49">+INDEX('OUTCOME MODEL'!$C$10:$H$87,MATCH(Table1[[#This Row],[DRIVERS]]&amp;Table1[[#This Row],[DEMAND]],'OUTCOME MODEL'!$A$10:$A$87&amp;'OUTCOME MODEL'!$B$10:$B$87,0),MATCH(Table1[[#This Row],[CAPACITY]],'OUTCOME MODEL'!$C$9:$H$9))</f>
        <v>0.84</v>
      </c>
      <c r="F49" s="58">
        <f t="array" ref="F4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9" s="60">
        <f t="array" ref="G49">+INDEX('OUTCOME MODEL'!$O$10:$T$87,MATCH(Table1[[#This Row],[DRIVERS]]&amp;Table1[[#This Row],[DEMAND]],'OUTCOME MODEL'!$A$10:$A$87&amp;'OUTCOME MODEL'!$B$10:$B$87,0),MATCH(Table1[[#This Row],[CAPACITY]],'OUTCOME MODEL'!$O$9:$T$9))</f>
        <v>0.84</v>
      </c>
    </row>
    <row r="50" spans="1:7" x14ac:dyDescent="0.35">
      <c r="A50" s="64">
        <v>4</v>
      </c>
      <c r="B50" s="66">
        <v>7</v>
      </c>
      <c r="C50">
        <v>1</v>
      </c>
      <c r="D50" s="67">
        <f t="array" ref="D50">+INDEX('OUTCOME MODEL'!$U$10:$Z$87,MATCH(Table1[[#This Row],[DRIVERS]]&amp;Table1[[#This Row],[DEMAND]],'OUTCOME MODEL'!$A$10:$A$87&amp;'OUTCOME MODEL'!$B$10:$B$87,0),MATCH(Table1[[#This Row],[CAPACITY]],'OUTCOME MODEL'!$U$9:$Z$9))</f>
        <v>30.45</v>
      </c>
      <c r="E50" s="58">
        <f t="array" ref="E50">+INDEX('OUTCOME MODEL'!$C$10:$H$87,MATCH(Table1[[#This Row],[DRIVERS]]&amp;Table1[[#This Row],[DEMAND]],'OUTCOME MODEL'!$A$10:$A$87&amp;'OUTCOME MODEL'!$B$10:$B$87,0),MATCH(Table1[[#This Row],[CAPACITY]],'OUTCOME MODEL'!$C$9:$H$9))</f>
        <v>0.87</v>
      </c>
      <c r="F50" s="58">
        <f t="array" ref="F5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0" s="60">
        <f t="array" ref="G50">+INDEX('OUTCOME MODEL'!$O$10:$T$87,MATCH(Table1[[#This Row],[DRIVERS]]&amp;Table1[[#This Row],[DEMAND]],'OUTCOME MODEL'!$A$10:$A$87&amp;'OUTCOME MODEL'!$B$10:$B$87,0),MATCH(Table1[[#This Row],[CAPACITY]],'OUTCOME MODEL'!$O$9:$T$9))</f>
        <v>0.87</v>
      </c>
    </row>
    <row r="51" spans="1:7" x14ac:dyDescent="0.35">
      <c r="A51" s="69">
        <v>4</v>
      </c>
      <c r="B51" s="70">
        <v>8</v>
      </c>
      <c r="C51">
        <v>1</v>
      </c>
      <c r="D51" s="67">
        <f t="array" ref="D51">+INDEX('OUTCOME MODEL'!$U$10:$Z$87,MATCH(Table1[[#This Row],[DRIVERS]]&amp;Table1[[#This Row],[DEMAND]],'OUTCOME MODEL'!$A$10:$A$87&amp;'OUTCOME MODEL'!$B$10:$B$87,0),MATCH(Table1[[#This Row],[CAPACITY]],'OUTCOME MODEL'!$U$9:$Z$9))</f>
        <v>31.5</v>
      </c>
      <c r="E51" s="58">
        <f t="array" ref="E51">+INDEX('OUTCOME MODEL'!$C$10:$H$87,MATCH(Table1[[#This Row],[DRIVERS]]&amp;Table1[[#This Row],[DEMAND]],'OUTCOME MODEL'!$A$10:$A$87&amp;'OUTCOME MODEL'!$B$10:$B$87,0),MATCH(Table1[[#This Row],[CAPACITY]],'OUTCOME MODEL'!$C$9:$H$9))</f>
        <v>0.9</v>
      </c>
      <c r="F51" s="58">
        <f t="array" ref="F5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1" s="60">
        <f t="array" ref="G51">+INDEX('OUTCOME MODEL'!$O$10:$T$87,MATCH(Table1[[#This Row],[DRIVERS]]&amp;Table1[[#This Row],[DEMAND]],'OUTCOME MODEL'!$A$10:$A$87&amp;'OUTCOME MODEL'!$B$10:$B$87,0),MATCH(Table1[[#This Row],[CAPACITY]],'OUTCOME MODEL'!$O$9:$T$9))</f>
        <v>0.9</v>
      </c>
    </row>
    <row r="52" spans="1:7" x14ac:dyDescent="0.35">
      <c r="A52" s="64">
        <v>4</v>
      </c>
      <c r="B52" s="66">
        <v>9</v>
      </c>
      <c r="C52">
        <v>1</v>
      </c>
      <c r="D52" s="67">
        <f t="array" ref="D52">+INDEX('OUTCOME MODEL'!$U$10:$Z$87,MATCH(Table1[[#This Row],[DRIVERS]]&amp;Table1[[#This Row],[DEMAND]],'OUTCOME MODEL'!$A$10:$A$87&amp;'OUTCOME MODEL'!$B$10:$B$87,0),MATCH(Table1[[#This Row],[CAPACITY]],'OUTCOME MODEL'!$U$9:$Z$9))</f>
        <v>32.550000000000004</v>
      </c>
      <c r="E52" s="58">
        <f t="array" ref="E52">+INDEX('OUTCOME MODEL'!$C$10:$H$87,MATCH(Table1[[#This Row],[DRIVERS]]&amp;Table1[[#This Row],[DEMAND]],'OUTCOME MODEL'!$A$10:$A$87&amp;'OUTCOME MODEL'!$B$10:$B$87,0),MATCH(Table1[[#This Row],[CAPACITY]],'OUTCOME MODEL'!$C$9:$H$9))</f>
        <v>0.93</v>
      </c>
      <c r="F52" s="58">
        <f t="array" ref="F5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2" s="60">
        <f t="array" ref="G52">+INDEX('OUTCOME MODEL'!$O$10:$T$87,MATCH(Table1[[#This Row],[DRIVERS]]&amp;Table1[[#This Row],[DEMAND]],'OUTCOME MODEL'!$A$10:$A$87&amp;'OUTCOME MODEL'!$B$10:$B$87,0),MATCH(Table1[[#This Row],[CAPACITY]],'OUTCOME MODEL'!$O$9:$T$9))</f>
        <v>0.93</v>
      </c>
    </row>
    <row r="53" spans="1:7" x14ac:dyDescent="0.35">
      <c r="A53" s="64">
        <v>4</v>
      </c>
      <c r="B53" s="66">
        <v>10</v>
      </c>
      <c r="C53">
        <v>1</v>
      </c>
      <c r="D53" s="67">
        <f t="array" ref="D53">+INDEX('OUTCOME MODEL'!$U$10:$Z$87,MATCH(Table1[[#This Row],[DRIVERS]]&amp;Table1[[#This Row],[DEMAND]],'OUTCOME MODEL'!$A$10:$A$87&amp;'OUTCOME MODEL'!$B$10:$B$87,0),MATCH(Table1[[#This Row],[CAPACITY]],'OUTCOME MODEL'!$U$9:$Z$9))</f>
        <v>32.899999999999991</v>
      </c>
      <c r="E53" s="58">
        <f t="array" ref="E53">+INDEX('OUTCOME MODEL'!$C$10:$H$87,MATCH(Table1[[#This Row],[DRIVERS]]&amp;Table1[[#This Row],[DEMAND]],'OUTCOME MODEL'!$A$10:$A$87&amp;'OUTCOME MODEL'!$B$10:$B$87,0),MATCH(Table1[[#This Row],[CAPACITY]],'OUTCOME MODEL'!$C$9:$H$9))</f>
        <v>0.94</v>
      </c>
      <c r="F53" s="58">
        <f t="array" ref="F5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3" s="60">
        <f t="array" ref="G53">+INDEX('OUTCOME MODEL'!$O$10:$T$87,MATCH(Table1[[#This Row],[DRIVERS]]&amp;Table1[[#This Row],[DEMAND]],'OUTCOME MODEL'!$A$10:$A$87&amp;'OUTCOME MODEL'!$B$10:$B$87,0),MATCH(Table1[[#This Row],[CAPACITY]],'OUTCOME MODEL'!$O$9:$T$9))</f>
        <v>0.94</v>
      </c>
    </row>
    <row r="54" spans="1:7" x14ac:dyDescent="0.35">
      <c r="A54" s="64">
        <v>4</v>
      </c>
      <c r="B54" s="66">
        <v>11</v>
      </c>
      <c r="C54">
        <v>1</v>
      </c>
      <c r="D54" s="67">
        <f t="array" ref="D54">+INDEX('OUTCOME MODEL'!$U$10:$Z$87,MATCH(Table1[[#This Row],[DRIVERS]]&amp;Table1[[#This Row],[DEMAND]],'OUTCOME MODEL'!$A$10:$A$87&amp;'OUTCOME MODEL'!$B$10:$B$87,0),MATCH(Table1[[#This Row],[CAPACITY]],'OUTCOME MODEL'!$U$9:$Z$9))</f>
        <v>33.25</v>
      </c>
      <c r="E54" s="58">
        <f t="array" ref="E54">+INDEX('OUTCOME MODEL'!$C$10:$H$87,MATCH(Table1[[#This Row],[DRIVERS]]&amp;Table1[[#This Row],[DEMAND]],'OUTCOME MODEL'!$A$10:$A$87&amp;'OUTCOME MODEL'!$B$10:$B$87,0),MATCH(Table1[[#This Row],[CAPACITY]],'OUTCOME MODEL'!$C$9:$H$9))</f>
        <v>0.95</v>
      </c>
      <c r="F54" s="58">
        <f t="array" ref="F5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4" s="60">
        <f t="array" ref="G54">+INDEX('OUTCOME MODEL'!$O$10:$T$87,MATCH(Table1[[#This Row],[DRIVERS]]&amp;Table1[[#This Row],[DEMAND]],'OUTCOME MODEL'!$A$10:$A$87&amp;'OUTCOME MODEL'!$B$10:$B$87,0),MATCH(Table1[[#This Row],[CAPACITY]],'OUTCOME MODEL'!$O$9:$T$9))</f>
        <v>0.95</v>
      </c>
    </row>
    <row r="55" spans="1:7" x14ac:dyDescent="0.35">
      <c r="A55" s="64">
        <v>4</v>
      </c>
      <c r="B55" s="66">
        <v>12</v>
      </c>
      <c r="C55">
        <v>1</v>
      </c>
      <c r="D55" s="67">
        <f t="array" ref="D55">+INDEX('OUTCOME MODEL'!$U$10:$Z$87,MATCH(Table1[[#This Row],[DRIVERS]]&amp;Table1[[#This Row],[DEMAND]],'OUTCOME MODEL'!$A$10:$A$87&amp;'OUTCOME MODEL'!$B$10:$B$87,0),MATCH(Table1[[#This Row],[CAPACITY]],'OUTCOME MODEL'!$U$9:$Z$9))</f>
        <v>34.299999999999997</v>
      </c>
      <c r="E55" s="58">
        <f t="array" ref="E55">+INDEX('OUTCOME MODEL'!$C$10:$H$87,MATCH(Table1[[#This Row],[DRIVERS]]&amp;Table1[[#This Row],[DEMAND]],'OUTCOME MODEL'!$A$10:$A$87&amp;'OUTCOME MODEL'!$B$10:$B$87,0),MATCH(Table1[[#This Row],[CAPACITY]],'OUTCOME MODEL'!$C$9:$H$9))</f>
        <v>0.98</v>
      </c>
      <c r="F55" s="58">
        <f t="array" ref="F5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5" s="60">
        <f t="array" ref="G55">+INDEX('OUTCOME MODEL'!$O$10:$T$87,MATCH(Table1[[#This Row],[DRIVERS]]&amp;Table1[[#This Row],[DEMAND]],'OUTCOME MODEL'!$A$10:$A$87&amp;'OUTCOME MODEL'!$B$10:$B$87,0),MATCH(Table1[[#This Row],[CAPACITY]],'OUTCOME MODEL'!$O$9:$T$9))</f>
        <v>0.98</v>
      </c>
    </row>
    <row r="56" spans="1:7" x14ac:dyDescent="0.35">
      <c r="A56" s="64">
        <v>5</v>
      </c>
      <c r="B56" s="66">
        <v>0</v>
      </c>
      <c r="C56">
        <v>1</v>
      </c>
      <c r="D56" s="67">
        <f t="array" ref="D56">+INDEX('OUTCOME MODEL'!$U$10:$Z$87,MATCH(Table1[[#This Row],[DRIVERS]]&amp;Table1[[#This Row],[DEMAND]],'OUTCOME MODEL'!$A$10:$A$87&amp;'OUTCOME MODEL'!$B$10:$B$87,0),MATCH(Table1[[#This Row],[CAPACITY]],'OUTCOME MODEL'!$U$9:$Z$9))</f>
        <v>0</v>
      </c>
      <c r="E56" s="58">
        <f t="array" ref="E56">+INDEX('OUTCOME MODEL'!$C$10:$H$87,MATCH(Table1[[#This Row],[DRIVERS]]&amp;Table1[[#This Row],[DEMAND]],'OUTCOME MODEL'!$A$10:$A$87&amp;'OUTCOME MODEL'!$B$10:$B$87,0),MATCH(Table1[[#This Row],[CAPACITY]],'OUTCOME MODEL'!$C$9:$H$9))</f>
        <v>0</v>
      </c>
      <c r="F56" s="58">
        <f t="array" ref="F5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6" s="60">
        <f t="array" ref="G56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57" spans="1:7" x14ac:dyDescent="0.35">
      <c r="A57" s="64">
        <v>5</v>
      </c>
      <c r="B57" s="66">
        <v>1</v>
      </c>
      <c r="C57">
        <v>1</v>
      </c>
      <c r="D57" s="67">
        <f t="array" ref="D57">+INDEX('OUTCOME MODEL'!$U$10:$Z$87,MATCH(Table1[[#This Row],[DRIVERS]]&amp;Table1[[#This Row],[DEMAND]],'OUTCOME MODEL'!$A$10:$A$87&amp;'OUTCOME MODEL'!$B$10:$B$87,0),MATCH(Table1[[#This Row],[CAPACITY]],'OUTCOME MODEL'!$U$9:$Z$9))</f>
        <v>7.8749999999999982</v>
      </c>
      <c r="E57" s="58">
        <f t="array" ref="E57">+INDEX('OUTCOME MODEL'!$C$10:$H$87,MATCH(Table1[[#This Row],[DRIVERS]]&amp;Table1[[#This Row],[DEMAND]],'OUTCOME MODEL'!$A$10:$A$87&amp;'OUTCOME MODEL'!$B$10:$B$87,0),MATCH(Table1[[#This Row],[CAPACITY]],'OUTCOME MODEL'!$C$9:$H$9))</f>
        <v>0.18</v>
      </c>
      <c r="F57" s="58">
        <f t="array" ref="F5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7" s="60">
        <f t="array" ref="G57">+INDEX('OUTCOME MODEL'!$O$10:$T$87,MATCH(Table1[[#This Row],[DRIVERS]]&amp;Table1[[#This Row],[DEMAND]],'OUTCOME MODEL'!$A$10:$A$87&amp;'OUTCOME MODEL'!$B$10:$B$87,0),MATCH(Table1[[#This Row],[CAPACITY]],'OUTCOME MODEL'!$O$9:$T$9))</f>
        <v>0.18</v>
      </c>
    </row>
    <row r="58" spans="1:7" x14ac:dyDescent="0.35">
      <c r="A58" s="64">
        <v>5</v>
      </c>
      <c r="B58" s="66">
        <v>2</v>
      </c>
      <c r="C58">
        <v>1</v>
      </c>
      <c r="D58" s="67">
        <f t="array" ref="D58">+INDEX('OUTCOME MODEL'!$U$10:$Z$87,MATCH(Table1[[#This Row],[DRIVERS]]&amp;Table1[[#This Row],[DEMAND]],'OUTCOME MODEL'!$A$10:$A$87&amp;'OUTCOME MODEL'!$B$10:$B$87,0),MATCH(Table1[[#This Row],[CAPACITY]],'OUTCOME MODEL'!$U$9:$Z$9))</f>
        <v>14.437500000000002</v>
      </c>
      <c r="E58" s="58">
        <f t="array" ref="E58">+INDEX('OUTCOME MODEL'!$C$10:$H$87,MATCH(Table1[[#This Row],[DRIVERS]]&amp;Table1[[#This Row],[DEMAND]],'OUTCOME MODEL'!$A$10:$A$87&amp;'OUTCOME MODEL'!$B$10:$B$87,0),MATCH(Table1[[#This Row],[CAPACITY]],'OUTCOME MODEL'!$C$9:$H$9))</f>
        <v>0.33</v>
      </c>
      <c r="F58" s="58">
        <f t="array" ref="F5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8" s="60">
        <f t="array" ref="G58">+INDEX('OUTCOME MODEL'!$O$10:$T$87,MATCH(Table1[[#This Row],[DRIVERS]]&amp;Table1[[#This Row],[DEMAND]],'OUTCOME MODEL'!$A$10:$A$87&amp;'OUTCOME MODEL'!$B$10:$B$87,0),MATCH(Table1[[#This Row],[CAPACITY]],'OUTCOME MODEL'!$O$9:$T$9))</f>
        <v>0.33</v>
      </c>
    </row>
    <row r="59" spans="1:7" x14ac:dyDescent="0.35">
      <c r="A59" s="64">
        <v>5</v>
      </c>
      <c r="B59" s="66">
        <v>3</v>
      </c>
      <c r="C59">
        <v>1</v>
      </c>
      <c r="D59" s="67">
        <f t="array" ref="D59">+INDEX('OUTCOME MODEL'!$U$10:$Z$87,MATCH(Table1[[#This Row],[DRIVERS]]&amp;Table1[[#This Row],[DEMAND]],'OUTCOME MODEL'!$A$10:$A$87&amp;'OUTCOME MODEL'!$B$10:$B$87,0),MATCH(Table1[[#This Row],[CAPACITY]],'OUTCOME MODEL'!$U$9:$Z$9))</f>
        <v>22.312499999999996</v>
      </c>
      <c r="E59" s="58">
        <f t="array" ref="E59">+INDEX('OUTCOME MODEL'!$C$10:$H$87,MATCH(Table1[[#This Row],[DRIVERS]]&amp;Table1[[#This Row],[DEMAND]],'OUTCOME MODEL'!$A$10:$A$87&amp;'OUTCOME MODEL'!$B$10:$B$87,0),MATCH(Table1[[#This Row],[CAPACITY]],'OUTCOME MODEL'!$C$9:$H$9))</f>
        <v>0.51</v>
      </c>
      <c r="F59" s="58">
        <f t="array" ref="F5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59" s="60">
        <f t="array" ref="G59">+INDEX('OUTCOME MODEL'!$O$10:$T$87,MATCH(Table1[[#This Row],[DRIVERS]]&amp;Table1[[#This Row],[DEMAND]],'OUTCOME MODEL'!$A$10:$A$87&amp;'OUTCOME MODEL'!$B$10:$B$87,0),MATCH(Table1[[#This Row],[CAPACITY]],'OUTCOME MODEL'!$O$9:$T$9))</f>
        <v>0.51</v>
      </c>
    </row>
    <row r="60" spans="1:7" x14ac:dyDescent="0.35">
      <c r="A60" s="64">
        <v>5</v>
      </c>
      <c r="B60" s="66">
        <v>4</v>
      </c>
      <c r="C60">
        <v>1</v>
      </c>
      <c r="D60" s="67">
        <f t="array" ref="D60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60" s="58">
        <f t="array" ref="E60">+INDEX('OUTCOME MODEL'!$C$10:$H$87,MATCH(Table1[[#This Row],[DRIVERS]]&amp;Table1[[#This Row],[DEMAND]],'OUTCOME MODEL'!$A$10:$A$87&amp;'OUTCOME MODEL'!$B$10:$B$87,0),MATCH(Table1[[#This Row],[CAPACITY]],'OUTCOME MODEL'!$C$9:$H$9))</f>
        <v>0.6</v>
      </c>
      <c r="F60" s="58">
        <f t="array" ref="F6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0" s="60">
        <f t="array" ref="G60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61" spans="1:7" x14ac:dyDescent="0.35">
      <c r="A61" s="64">
        <v>5</v>
      </c>
      <c r="B61" s="66">
        <v>5</v>
      </c>
      <c r="C61">
        <v>1</v>
      </c>
      <c r="D61" s="67">
        <f t="array" ref="D61">+INDEX('OUTCOME MODEL'!$U$10:$Z$87,MATCH(Table1[[#This Row],[DRIVERS]]&amp;Table1[[#This Row],[DEMAND]],'OUTCOME MODEL'!$A$10:$A$87&amp;'OUTCOME MODEL'!$B$10:$B$87,0),MATCH(Table1[[#This Row],[CAPACITY]],'OUTCOME MODEL'!$U$9:$Z$9))</f>
        <v>30.625000000000004</v>
      </c>
      <c r="E61" s="58">
        <f t="array" ref="E61">+INDEX('OUTCOME MODEL'!$C$10:$H$87,MATCH(Table1[[#This Row],[DRIVERS]]&amp;Table1[[#This Row],[DEMAND]],'OUTCOME MODEL'!$A$10:$A$87&amp;'OUTCOME MODEL'!$B$10:$B$87,0),MATCH(Table1[[#This Row],[CAPACITY]],'OUTCOME MODEL'!$C$9:$H$9))</f>
        <v>0.7</v>
      </c>
      <c r="F61" s="58">
        <f t="array" ref="F6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1" s="60">
        <f t="array" ref="G61">+INDEX('OUTCOME MODEL'!$O$10:$T$87,MATCH(Table1[[#This Row],[DRIVERS]]&amp;Table1[[#This Row],[DEMAND]],'OUTCOME MODEL'!$A$10:$A$87&amp;'OUTCOME MODEL'!$B$10:$B$87,0),MATCH(Table1[[#This Row],[CAPACITY]],'OUTCOME MODEL'!$O$9:$T$9))</f>
        <v>0.7</v>
      </c>
    </row>
    <row r="62" spans="1:7" x14ac:dyDescent="0.35">
      <c r="A62" s="64">
        <v>5</v>
      </c>
      <c r="B62" s="66">
        <v>6</v>
      </c>
      <c r="C62">
        <v>1</v>
      </c>
      <c r="D62" s="67">
        <f t="array" ref="D62">+INDEX('OUTCOME MODEL'!$U$10:$Z$87,MATCH(Table1[[#This Row],[DRIVERS]]&amp;Table1[[#This Row],[DEMAND]],'OUTCOME MODEL'!$A$10:$A$87&amp;'OUTCOME MODEL'!$B$10:$B$87,0),MATCH(Table1[[#This Row],[CAPACITY]],'OUTCOME MODEL'!$U$9:$Z$9))</f>
        <v>33.6875</v>
      </c>
      <c r="E62" s="58">
        <f t="array" ref="E62">+INDEX('OUTCOME MODEL'!$C$10:$H$87,MATCH(Table1[[#This Row],[DRIVERS]]&amp;Table1[[#This Row],[DEMAND]],'OUTCOME MODEL'!$A$10:$A$87&amp;'OUTCOME MODEL'!$B$10:$B$87,0),MATCH(Table1[[#This Row],[CAPACITY]],'OUTCOME MODEL'!$C$9:$H$9))</f>
        <v>0.77</v>
      </c>
      <c r="F62" s="58">
        <f t="array" ref="F6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2" s="60">
        <f t="array" ref="G62">+INDEX('OUTCOME MODEL'!$O$10:$T$87,MATCH(Table1[[#This Row],[DRIVERS]]&amp;Table1[[#This Row],[DEMAND]],'OUTCOME MODEL'!$A$10:$A$87&amp;'OUTCOME MODEL'!$B$10:$B$87,0),MATCH(Table1[[#This Row],[CAPACITY]],'OUTCOME MODEL'!$O$9:$T$9))</f>
        <v>0.77</v>
      </c>
    </row>
    <row r="63" spans="1:7" x14ac:dyDescent="0.35">
      <c r="A63" s="69">
        <v>5</v>
      </c>
      <c r="B63" s="70">
        <v>7</v>
      </c>
      <c r="C63">
        <v>1</v>
      </c>
      <c r="D63" s="67">
        <f t="array" ref="D63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63" s="58">
        <f t="array" ref="E63">+INDEX('OUTCOME MODEL'!$C$10:$H$87,MATCH(Table1[[#This Row],[DRIVERS]]&amp;Table1[[#This Row],[DEMAND]],'OUTCOME MODEL'!$A$10:$A$87&amp;'OUTCOME MODEL'!$B$10:$B$87,0),MATCH(Table1[[#This Row],[CAPACITY]],'OUTCOME MODEL'!$C$9:$H$9))</f>
        <v>0.8</v>
      </c>
      <c r="F63" s="58">
        <f t="array" ref="F6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3" s="60">
        <f t="array" ref="G63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64" spans="1:7" x14ac:dyDescent="0.35">
      <c r="A64" s="64">
        <v>5</v>
      </c>
      <c r="B64" s="66">
        <v>8</v>
      </c>
      <c r="C64">
        <v>1</v>
      </c>
      <c r="D64" s="67">
        <f t="array" ref="D64">+INDEX('OUTCOME MODEL'!$U$10:$Z$87,MATCH(Table1[[#This Row],[DRIVERS]]&amp;Table1[[#This Row],[DEMAND]],'OUTCOME MODEL'!$A$10:$A$87&amp;'OUTCOME MODEL'!$B$10:$B$87,0),MATCH(Table1[[#This Row],[CAPACITY]],'OUTCOME MODEL'!$U$9:$Z$9))</f>
        <v>37.1875</v>
      </c>
      <c r="E64" s="58">
        <f t="array" ref="E64">+INDEX('OUTCOME MODEL'!$C$10:$H$87,MATCH(Table1[[#This Row],[DRIVERS]]&amp;Table1[[#This Row],[DEMAND]],'OUTCOME MODEL'!$A$10:$A$87&amp;'OUTCOME MODEL'!$B$10:$B$87,0),MATCH(Table1[[#This Row],[CAPACITY]],'OUTCOME MODEL'!$C$9:$H$9))</f>
        <v>0.85</v>
      </c>
      <c r="F64" s="58">
        <f t="array" ref="F6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4" s="60">
        <f t="array" ref="G64">+INDEX('OUTCOME MODEL'!$O$10:$T$87,MATCH(Table1[[#This Row],[DRIVERS]]&amp;Table1[[#This Row],[DEMAND]],'OUTCOME MODEL'!$A$10:$A$87&amp;'OUTCOME MODEL'!$B$10:$B$87,0),MATCH(Table1[[#This Row],[CAPACITY]],'OUTCOME MODEL'!$O$9:$T$9))</f>
        <v>0.85</v>
      </c>
    </row>
    <row r="65" spans="1:7" x14ac:dyDescent="0.35">
      <c r="A65" s="64">
        <v>5</v>
      </c>
      <c r="B65" s="66">
        <v>9</v>
      </c>
      <c r="C65">
        <v>1</v>
      </c>
      <c r="D65" s="67">
        <f t="array" ref="D65">+INDEX('OUTCOME MODEL'!$U$10:$Z$87,MATCH(Table1[[#This Row],[DRIVERS]]&amp;Table1[[#This Row],[DEMAND]],'OUTCOME MODEL'!$A$10:$A$87&amp;'OUTCOME MODEL'!$B$10:$B$87,0),MATCH(Table1[[#This Row],[CAPACITY]],'OUTCOME MODEL'!$U$9:$Z$9))</f>
        <v>38.0625</v>
      </c>
      <c r="E65" s="58">
        <f t="array" ref="E65">+INDEX('OUTCOME MODEL'!$C$10:$H$87,MATCH(Table1[[#This Row],[DRIVERS]]&amp;Table1[[#This Row],[DEMAND]],'OUTCOME MODEL'!$A$10:$A$87&amp;'OUTCOME MODEL'!$B$10:$B$87,0),MATCH(Table1[[#This Row],[CAPACITY]],'OUTCOME MODEL'!$C$9:$H$9))</f>
        <v>0.87</v>
      </c>
      <c r="F65" s="58">
        <f t="array" ref="F6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5" s="60">
        <f t="array" ref="G65">+INDEX('OUTCOME MODEL'!$O$10:$T$87,MATCH(Table1[[#This Row],[DRIVERS]]&amp;Table1[[#This Row],[DEMAND]],'OUTCOME MODEL'!$A$10:$A$87&amp;'OUTCOME MODEL'!$B$10:$B$87,0),MATCH(Table1[[#This Row],[CAPACITY]],'OUTCOME MODEL'!$O$9:$T$9))</f>
        <v>0.87</v>
      </c>
    </row>
    <row r="66" spans="1:7" x14ac:dyDescent="0.35">
      <c r="A66" s="64">
        <v>5</v>
      </c>
      <c r="B66" s="66">
        <v>10</v>
      </c>
      <c r="C66">
        <v>1</v>
      </c>
      <c r="D66" s="67">
        <f t="array" ref="D66">+INDEX('OUTCOME MODEL'!$U$10:$Z$87,MATCH(Table1[[#This Row],[DRIVERS]]&amp;Table1[[#This Row],[DEMAND]],'OUTCOME MODEL'!$A$10:$A$87&amp;'OUTCOME MODEL'!$B$10:$B$87,0),MATCH(Table1[[#This Row],[CAPACITY]],'OUTCOME MODEL'!$U$9:$Z$9))</f>
        <v>39.375</v>
      </c>
      <c r="E66" s="58">
        <f t="array" ref="E66">+INDEX('OUTCOME MODEL'!$C$10:$H$87,MATCH(Table1[[#This Row],[DRIVERS]]&amp;Table1[[#This Row],[DEMAND]],'OUTCOME MODEL'!$A$10:$A$87&amp;'OUTCOME MODEL'!$B$10:$B$87,0),MATCH(Table1[[#This Row],[CAPACITY]],'OUTCOME MODEL'!$C$9:$H$9))</f>
        <v>0.9</v>
      </c>
      <c r="F66" s="58">
        <f t="array" ref="F6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6" s="60">
        <f t="array" ref="G66">+INDEX('OUTCOME MODEL'!$O$10:$T$87,MATCH(Table1[[#This Row],[DRIVERS]]&amp;Table1[[#This Row],[DEMAND]],'OUTCOME MODEL'!$A$10:$A$87&amp;'OUTCOME MODEL'!$B$10:$B$87,0),MATCH(Table1[[#This Row],[CAPACITY]],'OUTCOME MODEL'!$O$9:$T$9))</f>
        <v>0.9</v>
      </c>
    </row>
    <row r="67" spans="1:7" x14ac:dyDescent="0.35">
      <c r="A67" s="64">
        <v>5</v>
      </c>
      <c r="B67" s="66">
        <v>11</v>
      </c>
      <c r="C67">
        <v>1</v>
      </c>
      <c r="D67" s="67">
        <f t="array" ref="D67">+INDEX('OUTCOME MODEL'!$U$10:$Z$87,MATCH(Table1[[#This Row],[DRIVERS]]&amp;Table1[[#This Row],[DEMAND]],'OUTCOME MODEL'!$A$10:$A$87&amp;'OUTCOME MODEL'!$B$10:$B$87,0),MATCH(Table1[[#This Row],[CAPACITY]],'OUTCOME MODEL'!$U$9:$Z$9))</f>
        <v>39.375</v>
      </c>
      <c r="E67" s="58">
        <f t="array" ref="E67">+INDEX('OUTCOME MODEL'!$C$10:$H$87,MATCH(Table1[[#This Row],[DRIVERS]]&amp;Table1[[#This Row],[DEMAND]],'OUTCOME MODEL'!$A$10:$A$87&amp;'OUTCOME MODEL'!$B$10:$B$87,0),MATCH(Table1[[#This Row],[CAPACITY]],'OUTCOME MODEL'!$C$9:$H$9))</f>
        <v>0.9</v>
      </c>
      <c r="F67" s="58">
        <f t="array" ref="F6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7" s="60">
        <f t="array" ref="G67">+INDEX('OUTCOME MODEL'!$O$10:$T$87,MATCH(Table1[[#This Row],[DRIVERS]]&amp;Table1[[#This Row],[DEMAND]],'OUTCOME MODEL'!$A$10:$A$87&amp;'OUTCOME MODEL'!$B$10:$B$87,0),MATCH(Table1[[#This Row],[CAPACITY]],'OUTCOME MODEL'!$O$9:$T$9))</f>
        <v>0.9</v>
      </c>
    </row>
    <row r="68" spans="1:7" x14ac:dyDescent="0.35">
      <c r="A68" s="64">
        <v>5</v>
      </c>
      <c r="B68" s="66">
        <v>12</v>
      </c>
      <c r="C68">
        <v>1</v>
      </c>
      <c r="D68" s="67">
        <f t="array" ref="D68">+INDEX('OUTCOME MODEL'!$U$10:$Z$87,MATCH(Table1[[#This Row],[DRIVERS]]&amp;Table1[[#This Row],[DEMAND]],'OUTCOME MODEL'!$A$10:$A$87&amp;'OUTCOME MODEL'!$B$10:$B$87,0),MATCH(Table1[[#This Row],[CAPACITY]],'OUTCOME MODEL'!$U$9:$Z$9))</f>
        <v>40.687500000000007</v>
      </c>
      <c r="E68" s="58">
        <f t="array" ref="E68">+INDEX('OUTCOME MODEL'!$C$10:$H$87,MATCH(Table1[[#This Row],[DRIVERS]]&amp;Table1[[#This Row],[DEMAND]],'OUTCOME MODEL'!$A$10:$A$87&amp;'OUTCOME MODEL'!$B$10:$B$87,0),MATCH(Table1[[#This Row],[CAPACITY]],'OUTCOME MODEL'!$C$9:$H$9))</f>
        <v>0.93</v>
      </c>
      <c r="F68" s="58">
        <f t="array" ref="F6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8" s="60">
        <f t="array" ref="G68">+INDEX('OUTCOME MODEL'!$O$10:$T$87,MATCH(Table1[[#This Row],[DRIVERS]]&amp;Table1[[#This Row],[DEMAND]],'OUTCOME MODEL'!$A$10:$A$87&amp;'OUTCOME MODEL'!$B$10:$B$87,0),MATCH(Table1[[#This Row],[CAPACITY]],'OUTCOME MODEL'!$O$9:$T$9))</f>
        <v>0.93</v>
      </c>
    </row>
    <row r="69" spans="1:7" x14ac:dyDescent="0.35">
      <c r="A69" s="64">
        <v>6</v>
      </c>
      <c r="B69" s="66">
        <v>0</v>
      </c>
      <c r="C69">
        <v>1</v>
      </c>
      <c r="D69" s="67">
        <f t="array" ref="D69">+INDEX('OUTCOME MODEL'!$U$10:$Z$87,MATCH(Table1[[#This Row],[DRIVERS]]&amp;Table1[[#This Row],[DEMAND]],'OUTCOME MODEL'!$A$10:$A$87&amp;'OUTCOME MODEL'!$B$10:$B$87,0),MATCH(Table1[[#This Row],[CAPACITY]],'OUTCOME MODEL'!$U$9:$Z$9))</f>
        <v>0</v>
      </c>
      <c r="E69" s="58">
        <f t="array" ref="E69">+INDEX('OUTCOME MODEL'!$C$10:$H$87,MATCH(Table1[[#This Row],[DRIVERS]]&amp;Table1[[#This Row],[DEMAND]],'OUTCOME MODEL'!$A$10:$A$87&amp;'OUTCOME MODEL'!$B$10:$B$87,0),MATCH(Table1[[#This Row],[CAPACITY]],'OUTCOME MODEL'!$C$9:$H$9))</f>
        <v>0</v>
      </c>
      <c r="F69" s="58">
        <f t="array" ref="F6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69" s="60">
        <f t="array" ref="G69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70" spans="1:7" x14ac:dyDescent="0.35">
      <c r="A70" s="64">
        <v>6</v>
      </c>
      <c r="B70" s="66">
        <v>1</v>
      </c>
      <c r="C70">
        <v>1</v>
      </c>
      <c r="D70" s="67">
        <f t="array" ref="D70">+INDEX('OUTCOME MODEL'!$U$10:$Z$87,MATCH(Table1[[#This Row],[DRIVERS]]&amp;Table1[[#This Row],[DEMAND]],'OUTCOME MODEL'!$A$10:$A$87&amp;'OUTCOME MODEL'!$B$10:$B$87,0),MATCH(Table1[[#This Row],[CAPACITY]],'OUTCOME MODEL'!$U$9:$Z$9))</f>
        <v>8.4</v>
      </c>
      <c r="E70" s="58">
        <f t="array" ref="E70">+INDEX('OUTCOME MODEL'!$C$10:$H$87,MATCH(Table1[[#This Row],[DRIVERS]]&amp;Table1[[#This Row],[DEMAND]],'OUTCOME MODEL'!$A$10:$A$87&amp;'OUTCOME MODEL'!$B$10:$B$87,0),MATCH(Table1[[#This Row],[CAPACITY]],'OUTCOME MODEL'!$C$9:$H$9))</f>
        <v>0.16</v>
      </c>
      <c r="F70" s="58">
        <f t="array" ref="F7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0" s="60">
        <f t="array" ref="G70">+INDEX('OUTCOME MODEL'!$O$10:$T$87,MATCH(Table1[[#This Row],[DRIVERS]]&amp;Table1[[#This Row],[DEMAND]],'OUTCOME MODEL'!$A$10:$A$87&amp;'OUTCOME MODEL'!$B$10:$B$87,0),MATCH(Table1[[#This Row],[CAPACITY]],'OUTCOME MODEL'!$O$9:$T$9))</f>
        <v>0.16</v>
      </c>
    </row>
    <row r="71" spans="1:7" x14ac:dyDescent="0.35">
      <c r="A71" s="64">
        <v>6</v>
      </c>
      <c r="B71" s="66">
        <v>2</v>
      </c>
      <c r="C71">
        <v>1</v>
      </c>
      <c r="D71" s="67">
        <f t="array" ref="D71">+INDEX('OUTCOME MODEL'!$U$10:$Z$87,MATCH(Table1[[#This Row],[DRIVERS]]&amp;Table1[[#This Row],[DEMAND]],'OUTCOME MODEL'!$A$10:$A$87&amp;'OUTCOME MODEL'!$B$10:$B$87,0),MATCH(Table1[[#This Row],[CAPACITY]],'OUTCOME MODEL'!$U$9:$Z$9))</f>
        <v>14.7</v>
      </c>
      <c r="E71" s="58">
        <f t="array" ref="E71">+INDEX('OUTCOME MODEL'!$C$10:$H$87,MATCH(Table1[[#This Row],[DRIVERS]]&amp;Table1[[#This Row],[DEMAND]],'OUTCOME MODEL'!$A$10:$A$87&amp;'OUTCOME MODEL'!$B$10:$B$87,0),MATCH(Table1[[#This Row],[CAPACITY]],'OUTCOME MODEL'!$C$9:$H$9))</f>
        <v>0.28000000000000003</v>
      </c>
      <c r="F71" s="58">
        <f t="array" ref="F7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1" s="60">
        <f t="array" ref="G71">+INDEX('OUTCOME MODEL'!$O$10:$T$87,MATCH(Table1[[#This Row],[DRIVERS]]&amp;Table1[[#This Row],[DEMAND]],'OUTCOME MODEL'!$A$10:$A$87&amp;'OUTCOME MODEL'!$B$10:$B$87,0),MATCH(Table1[[#This Row],[CAPACITY]],'OUTCOME MODEL'!$O$9:$T$9))</f>
        <v>0.28000000000000003</v>
      </c>
    </row>
    <row r="72" spans="1:7" x14ac:dyDescent="0.35">
      <c r="A72" s="64">
        <v>6</v>
      </c>
      <c r="B72" s="66">
        <v>3</v>
      </c>
      <c r="C72">
        <v>1</v>
      </c>
      <c r="D72" s="67">
        <f t="array" ref="D72">+INDEX('OUTCOME MODEL'!$U$10:$Z$87,MATCH(Table1[[#This Row],[DRIVERS]]&amp;Table1[[#This Row],[DEMAND]],'OUTCOME MODEL'!$A$10:$A$87&amp;'OUTCOME MODEL'!$B$10:$B$87,0),MATCH(Table1[[#This Row],[CAPACITY]],'OUTCOME MODEL'!$U$9:$Z$9))</f>
        <v>22.05</v>
      </c>
      <c r="E72" s="58">
        <f t="array" ref="E72">+INDEX('OUTCOME MODEL'!$C$10:$H$87,MATCH(Table1[[#This Row],[DRIVERS]]&amp;Table1[[#This Row],[DEMAND]],'OUTCOME MODEL'!$A$10:$A$87&amp;'OUTCOME MODEL'!$B$10:$B$87,0),MATCH(Table1[[#This Row],[CAPACITY]],'OUTCOME MODEL'!$C$9:$H$9))</f>
        <v>0.42</v>
      </c>
      <c r="F72" s="58">
        <f t="array" ref="F7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2" s="60">
        <f t="array" ref="G72">+INDEX('OUTCOME MODEL'!$O$10:$T$87,MATCH(Table1[[#This Row],[DRIVERS]]&amp;Table1[[#This Row],[DEMAND]],'OUTCOME MODEL'!$A$10:$A$87&amp;'OUTCOME MODEL'!$B$10:$B$87,0),MATCH(Table1[[#This Row],[CAPACITY]],'OUTCOME MODEL'!$O$9:$T$9))</f>
        <v>0.42</v>
      </c>
    </row>
    <row r="73" spans="1:7" x14ac:dyDescent="0.35">
      <c r="A73" s="64">
        <v>6</v>
      </c>
      <c r="B73" s="66">
        <v>4</v>
      </c>
      <c r="C73">
        <v>1</v>
      </c>
      <c r="D73" s="67">
        <f t="array" ref="D73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73" s="58">
        <f t="array" ref="E73">+INDEX('OUTCOME MODEL'!$C$10:$H$87,MATCH(Table1[[#This Row],[DRIVERS]]&amp;Table1[[#This Row],[DEMAND]],'OUTCOME MODEL'!$A$10:$A$87&amp;'OUTCOME MODEL'!$B$10:$B$87,0),MATCH(Table1[[#This Row],[CAPACITY]],'OUTCOME MODEL'!$C$9:$H$9))</f>
        <v>0.5</v>
      </c>
      <c r="F73" s="58">
        <f t="array" ref="F7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3" s="60">
        <f t="array" ref="G73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74" spans="1:7" x14ac:dyDescent="0.35">
      <c r="A74" s="64">
        <v>6</v>
      </c>
      <c r="B74" s="66">
        <v>5</v>
      </c>
      <c r="C74">
        <v>1</v>
      </c>
      <c r="D74" s="67">
        <f t="array" ref="D74">+INDEX('OUTCOME MODEL'!$U$10:$Z$87,MATCH(Table1[[#This Row],[DRIVERS]]&amp;Table1[[#This Row],[DEMAND]],'OUTCOME MODEL'!$A$10:$A$87&amp;'OUTCOME MODEL'!$B$10:$B$87,0),MATCH(Table1[[#This Row],[CAPACITY]],'OUTCOME MODEL'!$U$9:$Z$9))</f>
        <v>31.499999999999996</v>
      </c>
      <c r="E74" s="58">
        <f t="array" ref="E74">+INDEX('OUTCOME MODEL'!$C$10:$H$87,MATCH(Table1[[#This Row],[DRIVERS]]&amp;Table1[[#This Row],[DEMAND]],'OUTCOME MODEL'!$A$10:$A$87&amp;'OUTCOME MODEL'!$B$10:$B$87,0),MATCH(Table1[[#This Row],[CAPACITY]],'OUTCOME MODEL'!$C$9:$H$9))</f>
        <v>0.6</v>
      </c>
      <c r="F74" s="58">
        <f t="array" ref="F7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4" s="60">
        <f t="array" ref="G74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75" spans="1:7" x14ac:dyDescent="0.35">
      <c r="A75" s="69">
        <v>6</v>
      </c>
      <c r="B75" s="70">
        <v>6</v>
      </c>
      <c r="C75">
        <v>1</v>
      </c>
      <c r="D75" s="67">
        <f t="array" ref="D75">+INDEX('OUTCOME MODEL'!$U$10:$Z$87,MATCH(Table1[[#This Row],[DRIVERS]]&amp;Table1[[#This Row],[DEMAND]],'OUTCOME MODEL'!$A$10:$A$87&amp;'OUTCOME MODEL'!$B$10:$B$87,0),MATCH(Table1[[#This Row],[CAPACITY]],'OUTCOME MODEL'!$U$9:$Z$9))</f>
        <v>36.749999999999993</v>
      </c>
      <c r="E75" s="58">
        <f t="array" ref="E75">+INDEX('OUTCOME MODEL'!$C$10:$H$87,MATCH(Table1[[#This Row],[DRIVERS]]&amp;Table1[[#This Row],[DEMAND]],'OUTCOME MODEL'!$A$10:$A$87&amp;'OUTCOME MODEL'!$B$10:$B$87,0),MATCH(Table1[[#This Row],[CAPACITY]],'OUTCOME MODEL'!$C$9:$H$9))</f>
        <v>0.7</v>
      </c>
      <c r="F75" s="58">
        <f t="array" ref="F7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5" s="60">
        <f t="array" ref="G75">+INDEX('OUTCOME MODEL'!$O$10:$T$87,MATCH(Table1[[#This Row],[DRIVERS]]&amp;Table1[[#This Row],[DEMAND]],'OUTCOME MODEL'!$A$10:$A$87&amp;'OUTCOME MODEL'!$B$10:$B$87,0),MATCH(Table1[[#This Row],[CAPACITY]],'OUTCOME MODEL'!$O$9:$T$9))</f>
        <v>0.7</v>
      </c>
    </row>
    <row r="76" spans="1:7" x14ac:dyDescent="0.35">
      <c r="A76" s="64">
        <v>6</v>
      </c>
      <c r="B76" s="66">
        <v>7</v>
      </c>
      <c r="C76">
        <v>1</v>
      </c>
      <c r="D76" s="67">
        <f t="array" ref="D76">+INDEX('OUTCOME MODEL'!$U$10:$Z$87,MATCH(Table1[[#This Row],[DRIVERS]]&amp;Table1[[#This Row],[DEMAND]],'OUTCOME MODEL'!$A$10:$A$87&amp;'OUTCOME MODEL'!$B$10:$B$87,0),MATCH(Table1[[#This Row],[CAPACITY]],'OUTCOME MODEL'!$U$9:$Z$9))</f>
        <v>41.475000000000009</v>
      </c>
      <c r="E76" s="58">
        <f t="array" ref="E76">+INDEX('OUTCOME MODEL'!$C$10:$H$87,MATCH(Table1[[#This Row],[DRIVERS]]&amp;Table1[[#This Row],[DEMAND]],'OUTCOME MODEL'!$A$10:$A$87&amp;'OUTCOME MODEL'!$B$10:$B$87,0),MATCH(Table1[[#This Row],[CAPACITY]],'OUTCOME MODEL'!$C$9:$H$9))</f>
        <v>0.79</v>
      </c>
      <c r="F76" s="58">
        <f t="array" ref="F7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6" s="60">
        <f t="array" ref="G76">+INDEX('OUTCOME MODEL'!$O$10:$T$87,MATCH(Table1[[#This Row],[DRIVERS]]&amp;Table1[[#This Row],[DEMAND]],'OUTCOME MODEL'!$A$10:$A$87&amp;'OUTCOME MODEL'!$B$10:$B$87,0),MATCH(Table1[[#This Row],[CAPACITY]],'OUTCOME MODEL'!$O$9:$T$9))</f>
        <v>0.79</v>
      </c>
    </row>
    <row r="77" spans="1:7" x14ac:dyDescent="0.35">
      <c r="A77" s="64">
        <v>6</v>
      </c>
      <c r="B77" s="66">
        <v>8</v>
      </c>
      <c r="C77">
        <v>1</v>
      </c>
      <c r="D77" s="67">
        <f t="array" ref="D77">+INDEX('OUTCOME MODEL'!$U$10:$Z$87,MATCH(Table1[[#This Row],[DRIVERS]]&amp;Table1[[#This Row],[DEMAND]],'OUTCOME MODEL'!$A$10:$A$87&amp;'OUTCOME MODEL'!$B$10:$B$87,0),MATCH(Table1[[#This Row],[CAPACITY]],'OUTCOME MODEL'!$U$9:$Z$9))</f>
        <v>42.000000000000007</v>
      </c>
      <c r="E77" s="58">
        <f t="array" ref="E77">+INDEX('OUTCOME MODEL'!$C$10:$H$87,MATCH(Table1[[#This Row],[DRIVERS]]&amp;Table1[[#This Row],[DEMAND]],'OUTCOME MODEL'!$A$10:$A$87&amp;'OUTCOME MODEL'!$B$10:$B$87,0),MATCH(Table1[[#This Row],[CAPACITY]],'OUTCOME MODEL'!$C$9:$H$9))</f>
        <v>0.8</v>
      </c>
      <c r="F77" s="58">
        <f t="array" ref="F7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7" s="60">
        <f t="array" ref="G77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78" spans="1:7" x14ac:dyDescent="0.35">
      <c r="A78" s="64">
        <v>6</v>
      </c>
      <c r="B78" s="66">
        <v>9</v>
      </c>
      <c r="C78">
        <v>1</v>
      </c>
      <c r="D78" s="67">
        <f t="array" ref="D78">+INDEX('OUTCOME MODEL'!$U$10:$Z$87,MATCH(Table1[[#This Row],[DRIVERS]]&amp;Table1[[#This Row],[DEMAND]],'OUTCOME MODEL'!$A$10:$A$87&amp;'OUTCOME MODEL'!$B$10:$B$87,0),MATCH(Table1[[#This Row],[CAPACITY]],'OUTCOME MODEL'!$U$9:$Z$9))</f>
        <v>43.575000000000003</v>
      </c>
      <c r="E78" s="58">
        <f t="array" ref="E78">+INDEX('OUTCOME MODEL'!$C$10:$H$87,MATCH(Table1[[#This Row],[DRIVERS]]&amp;Table1[[#This Row],[DEMAND]],'OUTCOME MODEL'!$A$10:$A$87&amp;'OUTCOME MODEL'!$B$10:$B$87,0),MATCH(Table1[[#This Row],[CAPACITY]],'OUTCOME MODEL'!$C$9:$H$9))</f>
        <v>0.83</v>
      </c>
      <c r="F78" s="58">
        <f t="array" ref="F7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8" s="60">
        <f t="array" ref="G78">+INDEX('OUTCOME MODEL'!$O$10:$T$87,MATCH(Table1[[#This Row],[DRIVERS]]&amp;Table1[[#This Row],[DEMAND]],'OUTCOME MODEL'!$A$10:$A$87&amp;'OUTCOME MODEL'!$B$10:$B$87,0),MATCH(Table1[[#This Row],[CAPACITY]],'OUTCOME MODEL'!$O$9:$T$9))</f>
        <v>0.83</v>
      </c>
    </row>
    <row r="79" spans="1:7" x14ac:dyDescent="0.35">
      <c r="A79" s="64">
        <v>6</v>
      </c>
      <c r="B79" s="66">
        <v>10</v>
      </c>
      <c r="C79">
        <v>1</v>
      </c>
      <c r="D79" s="67">
        <f t="array" ref="D79">+INDEX('OUTCOME MODEL'!$U$10:$Z$87,MATCH(Table1[[#This Row],[DRIVERS]]&amp;Table1[[#This Row],[DEMAND]],'OUTCOME MODEL'!$A$10:$A$87&amp;'OUTCOME MODEL'!$B$10:$B$87,0),MATCH(Table1[[#This Row],[CAPACITY]],'OUTCOME MODEL'!$U$9:$Z$9))</f>
        <v>45.15</v>
      </c>
      <c r="E79" s="58">
        <f t="array" ref="E79">+INDEX('OUTCOME MODEL'!$C$10:$H$87,MATCH(Table1[[#This Row],[DRIVERS]]&amp;Table1[[#This Row],[DEMAND]],'OUTCOME MODEL'!$A$10:$A$87&amp;'OUTCOME MODEL'!$B$10:$B$87,0),MATCH(Table1[[#This Row],[CAPACITY]],'OUTCOME MODEL'!$C$9:$H$9))</f>
        <v>0.86</v>
      </c>
      <c r="F79" s="58">
        <f t="array" ref="F7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79" s="60">
        <f t="array" ref="G79">+INDEX('OUTCOME MODEL'!$O$10:$T$87,MATCH(Table1[[#This Row],[DRIVERS]]&amp;Table1[[#This Row],[DEMAND]],'OUTCOME MODEL'!$A$10:$A$87&amp;'OUTCOME MODEL'!$B$10:$B$87,0),MATCH(Table1[[#This Row],[CAPACITY]],'OUTCOME MODEL'!$O$9:$T$9))</f>
        <v>0.86</v>
      </c>
    </row>
    <row r="80" spans="1:7" x14ac:dyDescent="0.35">
      <c r="A80" s="64">
        <v>6</v>
      </c>
      <c r="B80" s="66">
        <v>11</v>
      </c>
      <c r="C80">
        <v>1</v>
      </c>
      <c r="D80" s="67">
        <f t="array" ref="D80">+INDEX('OUTCOME MODEL'!$U$10:$Z$87,MATCH(Table1[[#This Row],[DRIVERS]]&amp;Table1[[#This Row],[DEMAND]],'OUTCOME MODEL'!$A$10:$A$87&amp;'OUTCOME MODEL'!$B$10:$B$87,0),MATCH(Table1[[#This Row],[CAPACITY]],'OUTCOME MODEL'!$U$9:$Z$9))</f>
        <v>46.20000000000001</v>
      </c>
      <c r="E80" s="58">
        <f t="array" ref="E80">+INDEX('OUTCOME MODEL'!$C$10:$H$87,MATCH(Table1[[#This Row],[DRIVERS]]&amp;Table1[[#This Row],[DEMAND]],'OUTCOME MODEL'!$A$10:$A$87&amp;'OUTCOME MODEL'!$B$10:$B$87,0),MATCH(Table1[[#This Row],[CAPACITY]],'OUTCOME MODEL'!$C$9:$H$9))</f>
        <v>0.88</v>
      </c>
      <c r="F80" s="58">
        <f t="array" ref="F8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80" s="60">
        <f t="array" ref="G80">+INDEX('OUTCOME MODEL'!$O$10:$T$87,MATCH(Table1[[#This Row],[DRIVERS]]&amp;Table1[[#This Row],[DEMAND]],'OUTCOME MODEL'!$A$10:$A$87&amp;'OUTCOME MODEL'!$B$10:$B$87,0),MATCH(Table1[[#This Row],[CAPACITY]],'OUTCOME MODEL'!$O$9:$T$9))</f>
        <v>0.88</v>
      </c>
    </row>
    <row r="81" spans="1:7" x14ac:dyDescent="0.35">
      <c r="A81" s="64">
        <v>6</v>
      </c>
      <c r="B81" s="66">
        <v>12</v>
      </c>
      <c r="C81">
        <v>1</v>
      </c>
      <c r="D81" s="67">
        <f t="array" ref="D81">+INDEX('OUTCOME MODEL'!$U$10:$Z$87,MATCH(Table1[[#This Row],[DRIVERS]]&amp;Table1[[#This Row],[DEMAND]],'OUTCOME MODEL'!$A$10:$A$87&amp;'OUTCOME MODEL'!$B$10:$B$87,0),MATCH(Table1[[#This Row],[CAPACITY]],'OUTCOME MODEL'!$U$9:$Z$9))</f>
        <v>46.20000000000001</v>
      </c>
      <c r="E81" s="58">
        <f t="array" ref="E81">+INDEX('OUTCOME MODEL'!$C$10:$H$87,MATCH(Table1[[#This Row],[DRIVERS]]&amp;Table1[[#This Row],[DEMAND]],'OUTCOME MODEL'!$A$10:$A$87&amp;'OUTCOME MODEL'!$B$10:$B$87,0),MATCH(Table1[[#This Row],[CAPACITY]],'OUTCOME MODEL'!$C$9:$H$9))</f>
        <v>0.88</v>
      </c>
      <c r="F81" s="58">
        <f t="array" ref="F8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81" s="60">
        <f t="array" ref="G81">+INDEX('OUTCOME MODEL'!$O$10:$T$87,MATCH(Table1[[#This Row],[DRIVERS]]&amp;Table1[[#This Row],[DEMAND]],'OUTCOME MODEL'!$A$10:$A$87&amp;'OUTCOME MODEL'!$B$10:$B$87,0),MATCH(Table1[[#This Row],[CAPACITY]],'OUTCOME MODEL'!$O$9:$T$9))</f>
        <v>0.88</v>
      </c>
    </row>
    <row r="82" spans="1:7" x14ac:dyDescent="0.35">
      <c r="A82" s="48">
        <v>1</v>
      </c>
      <c r="B82" s="49">
        <v>0</v>
      </c>
      <c r="C82">
        <v>1.5</v>
      </c>
      <c r="D82" s="46">
        <f t="array" ref="D82">+INDEX('OUTCOME MODEL'!$U$10:$Z$87,MATCH(Table1[[#This Row],[DRIVERS]]&amp;Table1[[#This Row],[DEMAND]],'OUTCOME MODEL'!$A$10:$A$87&amp;'OUTCOME MODEL'!$B$10:$B$87,0),MATCH(Table1[[#This Row],[CAPACITY]],'OUTCOME MODEL'!$U$9:$Z$9))</f>
        <v>0</v>
      </c>
      <c r="E82" s="58">
        <f t="array" ref="E82">+INDEX('OUTCOME MODEL'!$C$10:$H$87,MATCH(Table1[[#This Row],[DRIVERS]]&amp;Table1[[#This Row],[DEMAND]],'OUTCOME MODEL'!$A$10:$A$87&amp;'OUTCOME MODEL'!$B$10:$B$87,0),MATCH(Table1[[#This Row],[CAPACITY]],'OUTCOME MODEL'!$C$9:$H$9))</f>
        <v>0</v>
      </c>
      <c r="F82" s="58">
        <f t="array" ref="F8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82" s="59">
        <f t="array" ref="G82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83" spans="1:7" x14ac:dyDescent="0.35">
      <c r="A83" s="45">
        <v>1</v>
      </c>
      <c r="B83" s="22">
        <v>1</v>
      </c>
      <c r="C83">
        <v>1.5</v>
      </c>
      <c r="D83" s="46">
        <f t="array" ref="D83">+INDEX('OUTCOME MODEL'!$U$10:$Z$87,MATCH(Table1[[#This Row],[DRIVERS]]&amp;Table1[[#This Row],[DEMAND]],'OUTCOME MODEL'!$A$10:$A$87&amp;'OUTCOME MODEL'!$B$10:$B$87,0),MATCH(Table1[[#This Row],[CAPACITY]],'OUTCOME MODEL'!$U$9:$Z$9))</f>
        <v>6.5351278025606359</v>
      </c>
      <c r="E83" s="58">
        <f t="array" ref="E83">+INDEX('OUTCOME MODEL'!$C$10:$H$87,MATCH(Table1[[#This Row],[DRIVERS]]&amp;Table1[[#This Row],[DEMAND]],'OUTCOME MODEL'!$A$10:$A$87&amp;'OUTCOME MODEL'!$B$10:$B$87,0),MATCH(Table1[[#This Row],[CAPACITY]],'OUTCOME MODEL'!$C$9:$H$9))</f>
        <v>0.49791449924271503</v>
      </c>
      <c r="F83" s="58">
        <f t="array" ref="F83">+INDEX('OUTCOME MODEL'!$I$10:$N$87,MATCH(Table1[[#This Row],[DRIVERS]]&amp;Table1[[#This Row],[DEMAND]],'OUTCOME MODEL'!$A$10:$A$87&amp;'OUTCOME MODEL'!$B$10:$B$87,0),MATCH(Table1[[#This Row],[CAPACITY]],'OUTCOME MODEL'!$I$9:$N$9))</f>
        <v>0.61799999999999999</v>
      </c>
      <c r="G83" s="60">
        <f t="array" ref="G83">+INDEX('OUTCOME MODEL'!$O$10:$T$87,MATCH(Table1[[#This Row],[DRIVERS]]&amp;Table1[[#This Row],[DEMAND]],'OUTCOME MODEL'!$A$10:$A$87&amp;'OUTCOME MODEL'!$B$10:$B$87,0),MATCH(Table1[[#This Row],[CAPACITY]],'OUTCOME MODEL'!$O$9:$T$9))</f>
        <v>0.74687174886407259</v>
      </c>
    </row>
    <row r="84" spans="1:7" x14ac:dyDescent="0.35">
      <c r="A84" s="45">
        <v>1</v>
      </c>
      <c r="B84" s="22">
        <v>2</v>
      </c>
      <c r="C84">
        <v>1.5</v>
      </c>
      <c r="D84" s="46">
        <f t="array" ref="D84">+INDEX('OUTCOME MODEL'!$U$10:$Z$87,MATCH(Table1[[#This Row],[DRIVERS]]&amp;Table1[[#This Row],[DEMAND]],'OUTCOME MODEL'!$A$10:$A$87&amp;'OUTCOME MODEL'!$B$10:$B$87,0),MATCH(Table1[[#This Row],[CAPACITY]],'OUTCOME MODEL'!$U$9:$Z$9))</f>
        <v>9.8094811750418955</v>
      </c>
      <c r="E84" s="58">
        <f t="array" ref="E84">+INDEX('OUTCOME MODEL'!$C$10:$H$87,MATCH(Table1[[#This Row],[DRIVERS]]&amp;Table1[[#This Row],[DEMAND]],'OUTCOME MODEL'!$A$10:$A$87&amp;'OUTCOME MODEL'!$B$10:$B$87,0),MATCH(Table1[[#This Row],[CAPACITY]],'OUTCOME MODEL'!$C$9:$H$9))</f>
        <v>0.74738904190795408</v>
      </c>
      <c r="F84" s="58">
        <f t="array" ref="F84">+INDEX('OUTCOME MODEL'!$I$10:$N$87,MATCH(Table1[[#This Row],[DRIVERS]]&amp;Table1[[#This Row],[DEMAND]],'OUTCOME MODEL'!$A$10:$A$87&amp;'OUTCOME MODEL'!$B$10:$B$87,0),MATCH(Table1[[#This Row],[CAPACITY]],'OUTCOME MODEL'!$I$9:$N$9))</f>
        <v>0.48399999999999999</v>
      </c>
      <c r="G84" s="60">
        <f t="array" ref="G84">+INDEX('OUTCOME MODEL'!$O$10:$T$87,MATCH(Table1[[#This Row],[DRIVERS]]&amp;Table1[[#This Row],[DEMAND]],'OUTCOME MODEL'!$A$10:$A$87&amp;'OUTCOME MODEL'!$B$10:$B$87,0),MATCH(Table1[[#This Row],[CAPACITY]],'OUTCOME MODEL'!$O$9:$T$9))</f>
        <v>1.1210835628619311</v>
      </c>
    </row>
    <row r="85" spans="1:7" x14ac:dyDescent="0.35">
      <c r="A85" s="45">
        <v>1</v>
      </c>
      <c r="B85" s="22">
        <v>3</v>
      </c>
      <c r="C85">
        <v>1.5</v>
      </c>
      <c r="D85" s="46">
        <f t="array" ref="D85">+INDEX('OUTCOME MODEL'!$U$10:$Z$87,MATCH(Table1[[#This Row],[DRIVERS]]&amp;Table1[[#This Row],[DEMAND]],'OUTCOME MODEL'!$A$10:$A$87&amp;'OUTCOME MODEL'!$B$10:$B$87,0),MATCH(Table1[[#This Row],[CAPACITY]],'OUTCOME MODEL'!$U$9:$Z$9))</f>
        <v>11.586296550982377</v>
      </c>
      <c r="E85" s="58">
        <f t="array" ref="E85">+INDEX('OUTCOME MODEL'!$C$10:$H$87,MATCH(Table1[[#This Row],[DRIVERS]]&amp;Table1[[#This Row],[DEMAND]],'OUTCOME MODEL'!$A$10:$A$87&amp;'OUTCOME MODEL'!$B$10:$B$87,0),MATCH(Table1[[#This Row],[CAPACITY]],'OUTCOME MODEL'!$C$9:$H$9))</f>
        <v>0.88276545150341912</v>
      </c>
      <c r="F85" s="58">
        <f t="array" ref="F85">+INDEX('OUTCOME MODEL'!$I$10:$N$87,MATCH(Table1[[#This Row],[DRIVERS]]&amp;Table1[[#This Row],[DEMAND]],'OUTCOME MODEL'!$A$10:$A$87&amp;'OUTCOME MODEL'!$B$10:$B$87,0),MATCH(Table1[[#This Row],[CAPACITY]],'OUTCOME MODEL'!$I$9:$N$9))</f>
        <v>0.36899999999999999</v>
      </c>
      <c r="G85" s="60">
        <f t="array" ref="G85">+INDEX('OUTCOME MODEL'!$O$10:$T$87,MATCH(Table1[[#This Row],[DRIVERS]]&amp;Table1[[#This Row],[DEMAND]],'OUTCOME MODEL'!$A$10:$A$87&amp;'OUTCOME MODEL'!$B$10:$B$87,0),MATCH(Table1[[#This Row],[CAPACITY]],'OUTCOME MODEL'!$O$9:$T$9))</f>
        <v>1.3241481772551287</v>
      </c>
    </row>
    <row r="86" spans="1:7" x14ac:dyDescent="0.35">
      <c r="A86" s="45">
        <v>1</v>
      </c>
      <c r="B86" s="22">
        <v>4</v>
      </c>
      <c r="C86">
        <v>1.5</v>
      </c>
      <c r="D86" s="46">
        <f t="array" ref="D86">+INDEX('OUTCOME MODEL'!$U$10:$Z$87,MATCH(Table1[[#This Row],[DRIVERS]]&amp;Table1[[#This Row],[DEMAND]],'OUTCOME MODEL'!$A$10:$A$87&amp;'OUTCOME MODEL'!$B$10:$B$87,0),MATCH(Table1[[#This Row],[CAPACITY]],'OUTCOME MODEL'!$U$9:$Z$9))</f>
        <v>12.531291852225285</v>
      </c>
      <c r="E86" s="58">
        <f t="array" ref="E86">+INDEX('OUTCOME MODEL'!$C$10:$H$87,MATCH(Table1[[#This Row],[DRIVERS]]&amp;Table1[[#This Row],[DEMAND]],'OUTCOME MODEL'!$A$10:$A$87&amp;'OUTCOME MODEL'!$B$10:$B$87,0),MATCH(Table1[[#This Row],[CAPACITY]],'OUTCOME MODEL'!$C$9:$H$9))</f>
        <v>0.95476509350287908</v>
      </c>
      <c r="F86" s="58">
        <f t="array" ref="F86">+INDEX('OUTCOME MODEL'!$I$10:$N$87,MATCH(Table1[[#This Row],[DRIVERS]]&amp;Table1[[#This Row],[DEMAND]],'OUTCOME MODEL'!$A$10:$A$87&amp;'OUTCOME MODEL'!$B$10:$B$87,0),MATCH(Table1[[#This Row],[CAPACITY]],'OUTCOME MODEL'!$I$9:$N$9))</f>
        <v>0.30199999999999999</v>
      </c>
      <c r="G86" s="60">
        <f t="array" ref="G86">+INDEX('OUTCOME MODEL'!$O$10:$T$87,MATCH(Table1[[#This Row],[DRIVERS]]&amp;Table1[[#This Row],[DEMAND]],'OUTCOME MODEL'!$A$10:$A$87&amp;'OUTCOME MODEL'!$B$10:$B$87,0),MATCH(Table1[[#This Row],[CAPACITY]],'OUTCOME MODEL'!$O$9:$T$9))</f>
        <v>1.4321476402543185</v>
      </c>
    </row>
    <row r="87" spans="1:7" x14ac:dyDescent="0.35">
      <c r="A87" s="19">
        <v>1</v>
      </c>
      <c r="B87" s="20">
        <v>5</v>
      </c>
      <c r="C87">
        <v>1.5</v>
      </c>
      <c r="D87" s="46">
        <f t="array" ref="D87">+INDEX('OUTCOME MODEL'!$U$10:$Z$87,MATCH(Table1[[#This Row],[DRIVERS]]&amp;Table1[[#This Row],[DEMAND]],'OUTCOME MODEL'!$A$10:$A$87&amp;'OUTCOME MODEL'!$B$10:$B$87,0),MATCH(Table1[[#This Row],[CAPACITY]],'OUTCOME MODEL'!$U$9:$Z$9))</f>
        <v>13.376851153300187</v>
      </c>
      <c r="E87" s="58">
        <f t="array" ref="E87">+INDEX('OUTCOME MODEL'!$C$10:$H$87,MATCH(Table1[[#This Row],[DRIVERS]]&amp;Table1[[#This Row],[DEMAND]],'OUTCOME MODEL'!$A$10:$A$87&amp;'OUTCOME MODEL'!$B$10:$B$87,0),MATCH(Table1[[#This Row],[CAPACITY]],'OUTCOME MODEL'!$C$9:$H$9))</f>
        <v>1.0191886592990618</v>
      </c>
      <c r="F87" s="58">
        <f t="array" ref="F87">+INDEX('OUTCOME MODEL'!$I$10:$N$87,MATCH(Table1[[#This Row],[DRIVERS]]&amp;Table1[[#This Row],[DEMAND]],'OUTCOME MODEL'!$A$10:$A$87&amp;'OUTCOME MODEL'!$B$10:$B$87,0),MATCH(Table1[[#This Row],[CAPACITY]],'OUTCOME MODEL'!$I$9:$N$9))</f>
        <v>0.26700000000000002</v>
      </c>
      <c r="G87" s="60">
        <f t="array" ref="G87">+INDEX('OUTCOME MODEL'!$O$10:$T$87,MATCH(Table1[[#This Row],[DRIVERS]]&amp;Table1[[#This Row],[DEMAND]],'OUTCOME MODEL'!$A$10:$A$87&amp;'OUTCOME MODEL'!$B$10:$B$87,0),MATCH(Table1[[#This Row],[CAPACITY]],'OUTCOME MODEL'!$O$9:$T$9))</f>
        <v>1.5287829889485927</v>
      </c>
    </row>
    <row r="88" spans="1:7" x14ac:dyDescent="0.35">
      <c r="A88" s="45">
        <v>1</v>
      </c>
      <c r="B88" s="22">
        <v>6</v>
      </c>
      <c r="C88">
        <v>1.5</v>
      </c>
      <c r="D88" s="46">
        <f t="array" ref="D88">+INDEX('OUTCOME MODEL'!$U$10:$Z$87,MATCH(Table1[[#This Row],[DRIVERS]]&amp;Table1[[#This Row],[DEMAND]],'OUTCOME MODEL'!$A$10:$A$87&amp;'OUTCOME MODEL'!$B$10:$B$87,0),MATCH(Table1[[#This Row],[CAPACITY]],'OUTCOME MODEL'!$U$9:$Z$9))</f>
        <v>13.679740890164949</v>
      </c>
      <c r="E88" s="58">
        <f t="array" ref="E88">+INDEX('OUTCOME MODEL'!$C$10:$H$87,MATCH(Table1[[#This Row],[DRIVERS]]&amp;Table1[[#This Row],[DEMAND]],'OUTCOME MODEL'!$A$10:$A$87&amp;'OUTCOME MODEL'!$B$10:$B$87,0),MATCH(Table1[[#This Row],[CAPACITY]],'OUTCOME MODEL'!$C$9:$H$9))</f>
        <v>1.042265972583996</v>
      </c>
      <c r="F88" s="58">
        <f t="array" ref="F88">+INDEX('OUTCOME MODEL'!$I$10:$N$87,MATCH(Table1[[#This Row],[DRIVERS]]&amp;Table1[[#This Row],[DEMAND]],'OUTCOME MODEL'!$A$10:$A$87&amp;'OUTCOME MODEL'!$B$10:$B$87,0),MATCH(Table1[[#This Row],[CAPACITY]],'OUTCOME MODEL'!$I$9:$N$9))</f>
        <v>0.22700000000000001</v>
      </c>
      <c r="G88" s="60">
        <f t="array" ref="G88">+INDEX('OUTCOME MODEL'!$O$10:$T$87,MATCH(Table1[[#This Row],[DRIVERS]]&amp;Table1[[#This Row],[DEMAND]],'OUTCOME MODEL'!$A$10:$A$87&amp;'OUTCOME MODEL'!$B$10:$B$87,0),MATCH(Table1[[#This Row],[CAPACITY]],'OUTCOME MODEL'!$O$9:$T$9))</f>
        <v>1.563398958875994</v>
      </c>
    </row>
    <row r="89" spans="1:7" x14ac:dyDescent="0.35">
      <c r="A89" s="45">
        <v>1</v>
      </c>
      <c r="B89" s="22">
        <v>7</v>
      </c>
      <c r="C89">
        <v>1.5</v>
      </c>
      <c r="D89" s="46">
        <f t="array" ref="D89">+INDEX('OUTCOME MODEL'!$U$10:$Z$87,MATCH(Table1[[#This Row],[DRIVERS]]&amp;Table1[[#This Row],[DEMAND]],'OUTCOME MODEL'!$A$10:$A$87&amp;'OUTCOME MODEL'!$B$10:$B$87,0),MATCH(Table1[[#This Row],[CAPACITY]],'OUTCOME MODEL'!$U$9:$Z$9))</f>
        <v>14.05568956634426</v>
      </c>
      <c r="E89" s="58">
        <f t="array" ref="E89">+INDEX('OUTCOME MODEL'!$C$10:$H$87,MATCH(Table1[[#This Row],[DRIVERS]]&amp;Table1[[#This Row],[DEMAND]],'OUTCOME MODEL'!$A$10:$A$87&amp;'OUTCOME MODEL'!$B$10:$B$87,0),MATCH(Table1[[#This Row],[CAPACITY]],'OUTCOME MODEL'!$C$9:$H$9))</f>
        <v>1.0709096812452772</v>
      </c>
      <c r="F89" s="58">
        <f t="array" ref="F89">+INDEX('OUTCOME MODEL'!$I$10:$N$87,MATCH(Table1[[#This Row],[DRIVERS]]&amp;Table1[[#This Row],[DEMAND]],'OUTCOME MODEL'!$A$10:$A$87&amp;'OUTCOME MODEL'!$B$10:$B$87,0),MATCH(Table1[[#This Row],[CAPACITY]],'OUTCOME MODEL'!$I$9:$N$9))</f>
        <v>0.20799999999999999</v>
      </c>
      <c r="G89" s="60">
        <f t="array" ref="G89">+INDEX('OUTCOME MODEL'!$O$10:$T$87,MATCH(Table1[[#This Row],[DRIVERS]]&amp;Table1[[#This Row],[DEMAND]],'OUTCOME MODEL'!$A$10:$A$87&amp;'OUTCOME MODEL'!$B$10:$B$87,0),MATCH(Table1[[#This Row],[CAPACITY]],'OUTCOME MODEL'!$O$9:$T$9))</f>
        <v>1.6063645218679157</v>
      </c>
    </row>
    <row r="90" spans="1:7" x14ac:dyDescent="0.35">
      <c r="A90" s="45">
        <v>1</v>
      </c>
      <c r="B90" s="22">
        <v>8</v>
      </c>
      <c r="C90">
        <v>1.5</v>
      </c>
      <c r="D90" s="46">
        <f t="array" ref="D90">+INDEX('OUTCOME MODEL'!$U$10:$Z$87,MATCH(Table1[[#This Row],[DRIVERS]]&amp;Table1[[#This Row],[DEMAND]],'OUTCOME MODEL'!$A$10:$A$87&amp;'OUTCOME MODEL'!$B$10:$B$87,0),MATCH(Table1[[#This Row],[CAPACITY]],'OUTCOME MODEL'!$U$9:$Z$9))</f>
        <v>14.301412049861735</v>
      </c>
      <c r="E90" s="58">
        <f t="array" ref="E90">+INDEX('OUTCOME MODEL'!$C$10:$H$87,MATCH(Table1[[#This Row],[DRIVERS]]&amp;Table1[[#This Row],[DEMAND]],'OUTCOME MODEL'!$A$10:$A$87&amp;'OUTCOME MODEL'!$B$10:$B$87,0),MATCH(Table1[[#This Row],[CAPACITY]],'OUTCOME MODEL'!$C$9:$H$9))</f>
        <v>1.0896313942751799</v>
      </c>
      <c r="F90" s="58">
        <f t="array" ref="F90">+INDEX('OUTCOME MODEL'!$I$10:$N$87,MATCH(Table1[[#This Row],[DRIVERS]]&amp;Table1[[#This Row],[DEMAND]],'OUTCOME MODEL'!$A$10:$A$87&amp;'OUTCOME MODEL'!$B$10:$B$87,0),MATCH(Table1[[#This Row],[CAPACITY]],'OUTCOME MODEL'!$I$9:$N$9))</f>
        <v>0.20300000000000001</v>
      </c>
      <c r="G90" s="60">
        <f t="array" ref="G90">+INDEX('OUTCOME MODEL'!$O$10:$T$87,MATCH(Table1[[#This Row],[DRIVERS]]&amp;Table1[[#This Row],[DEMAND]],'OUTCOME MODEL'!$A$10:$A$87&amp;'OUTCOME MODEL'!$B$10:$B$87,0),MATCH(Table1[[#This Row],[CAPACITY]],'OUTCOME MODEL'!$O$9:$T$9))</f>
        <v>1.6344470914127698</v>
      </c>
    </row>
    <row r="91" spans="1:7" x14ac:dyDescent="0.35">
      <c r="A91" s="45">
        <v>1</v>
      </c>
      <c r="B91" s="22">
        <v>9</v>
      </c>
      <c r="C91">
        <v>1.5</v>
      </c>
      <c r="D91" s="46">
        <f t="array" ref="D91">+INDEX('OUTCOME MODEL'!$U$10:$Z$87,MATCH(Table1[[#This Row],[DRIVERS]]&amp;Table1[[#This Row],[DEMAND]],'OUTCOME MODEL'!$A$10:$A$87&amp;'OUTCOME MODEL'!$B$10:$B$87,0),MATCH(Table1[[#This Row],[CAPACITY]],'OUTCOME MODEL'!$U$9:$Z$9))</f>
        <v>14.603943731581381</v>
      </c>
      <c r="E91" s="58">
        <f t="array" ref="E91">+INDEX('OUTCOME MODEL'!$C$10:$H$87,MATCH(Table1[[#This Row],[DRIVERS]]&amp;Table1[[#This Row],[DEMAND]],'OUTCOME MODEL'!$A$10:$A$87&amp;'OUTCOME MODEL'!$B$10:$B$87,0),MATCH(Table1[[#This Row],[CAPACITY]],'OUTCOME MODEL'!$C$9:$H$9))</f>
        <v>1.1126814271681054</v>
      </c>
      <c r="F91" s="58">
        <f t="array" ref="F91">+INDEX('OUTCOME MODEL'!$I$10:$N$87,MATCH(Table1[[#This Row],[DRIVERS]]&amp;Table1[[#This Row],[DEMAND]],'OUTCOME MODEL'!$A$10:$A$87&amp;'OUTCOME MODEL'!$B$10:$B$87,0),MATCH(Table1[[#This Row],[CAPACITY]],'OUTCOME MODEL'!$I$9:$N$9))</f>
        <v>0.184</v>
      </c>
      <c r="G91" s="60">
        <f t="array" ref="G91">+INDEX('OUTCOME MODEL'!$O$10:$T$87,MATCH(Table1[[#This Row],[DRIVERS]]&amp;Table1[[#This Row],[DEMAND]],'OUTCOME MODEL'!$A$10:$A$87&amp;'OUTCOME MODEL'!$B$10:$B$87,0),MATCH(Table1[[#This Row],[CAPACITY]],'OUTCOME MODEL'!$O$9:$T$9))</f>
        <v>1.6690221407521579</v>
      </c>
    </row>
    <row r="92" spans="1:7" x14ac:dyDescent="0.35">
      <c r="A92" s="45">
        <v>1</v>
      </c>
      <c r="B92" s="22">
        <v>10</v>
      </c>
      <c r="C92">
        <v>1.5</v>
      </c>
      <c r="D92" s="46">
        <f t="array" ref="D92">+INDEX('OUTCOME MODEL'!$U$10:$Z$87,MATCH(Table1[[#This Row],[DRIVERS]]&amp;Table1[[#This Row],[DEMAND]],'OUTCOME MODEL'!$A$10:$A$87&amp;'OUTCOME MODEL'!$B$10:$B$87,0),MATCH(Table1[[#This Row],[CAPACITY]],'OUTCOME MODEL'!$U$9:$Z$9))</f>
        <v>14.608323882636068</v>
      </c>
      <c r="E92" s="58">
        <f t="array" ref="E92">+INDEX('OUTCOME MODEL'!$C$10:$H$87,MATCH(Table1[[#This Row],[DRIVERS]]&amp;Table1[[#This Row],[DEMAND]],'OUTCOME MODEL'!$A$10:$A$87&amp;'OUTCOME MODEL'!$B$10:$B$87,0),MATCH(Table1[[#This Row],[CAPACITY]],'OUTCOME MODEL'!$C$9:$H$9))</f>
        <v>1.1130151529627481</v>
      </c>
      <c r="F92" s="58">
        <f t="array" ref="F92">+INDEX('OUTCOME MODEL'!$I$10:$N$87,MATCH(Table1[[#This Row],[DRIVERS]]&amp;Table1[[#This Row],[DEMAND]],'OUTCOME MODEL'!$A$10:$A$87&amp;'OUTCOME MODEL'!$B$10:$B$87,0),MATCH(Table1[[#This Row],[CAPACITY]],'OUTCOME MODEL'!$I$9:$N$9))</f>
        <v>0.16400000000000001</v>
      </c>
      <c r="G92" s="60">
        <f t="array" ref="G92">+INDEX('OUTCOME MODEL'!$O$10:$T$87,MATCH(Table1[[#This Row],[DRIVERS]]&amp;Table1[[#This Row],[DEMAND]],'OUTCOME MODEL'!$A$10:$A$87&amp;'OUTCOME MODEL'!$B$10:$B$87,0),MATCH(Table1[[#This Row],[CAPACITY]],'OUTCOME MODEL'!$O$9:$T$9))</f>
        <v>1.6695227294441222</v>
      </c>
    </row>
    <row r="93" spans="1:7" x14ac:dyDescent="0.35">
      <c r="A93" s="45">
        <v>1</v>
      </c>
      <c r="B93" s="22">
        <v>11</v>
      </c>
      <c r="C93">
        <v>1.5</v>
      </c>
      <c r="D93" s="46">
        <f t="array" ref="D93">+INDEX('OUTCOME MODEL'!$U$10:$Z$87,MATCH(Table1[[#This Row],[DRIVERS]]&amp;Table1[[#This Row],[DEMAND]],'OUTCOME MODEL'!$A$10:$A$87&amp;'OUTCOME MODEL'!$B$10:$B$87,0),MATCH(Table1[[#This Row],[CAPACITY]],'OUTCOME MODEL'!$U$9:$Z$9))</f>
        <v>14.634070307441794</v>
      </c>
      <c r="E93" s="58">
        <f t="array" ref="E93">+INDEX('OUTCOME MODEL'!$C$10:$H$87,MATCH(Table1[[#This Row],[DRIVERS]]&amp;Table1[[#This Row],[DEMAND]],'OUTCOME MODEL'!$A$10:$A$87&amp;'OUTCOME MODEL'!$B$10:$B$87,0),MATCH(Table1[[#This Row],[CAPACITY]],'OUTCOME MODEL'!$C$9:$H$9))</f>
        <v>1.1149767853288985</v>
      </c>
      <c r="F93" s="58">
        <f t="array" ref="F93">+INDEX('OUTCOME MODEL'!$I$10:$N$87,MATCH(Table1[[#This Row],[DRIVERS]]&amp;Table1[[#This Row],[DEMAND]],'OUTCOME MODEL'!$A$10:$A$87&amp;'OUTCOME MODEL'!$B$10:$B$87,0),MATCH(Table1[[#This Row],[CAPACITY]],'OUTCOME MODEL'!$I$9:$N$9))</f>
        <v>0.15</v>
      </c>
      <c r="G93" s="60">
        <f t="array" ref="G93">+INDEX('OUTCOME MODEL'!$O$10:$T$87,MATCH(Table1[[#This Row],[DRIVERS]]&amp;Table1[[#This Row],[DEMAND]],'OUTCOME MODEL'!$A$10:$A$87&amp;'OUTCOME MODEL'!$B$10:$B$87,0),MATCH(Table1[[#This Row],[CAPACITY]],'OUTCOME MODEL'!$O$9:$T$9))</f>
        <v>1.6724651779933479</v>
      </c>
    </row>
    <row r="94" spans="1:7" x14ac:dyDescent="0.35">
      <c r="A94" s="45">
        <v>1</v>
      </c>
      <c r="B94" s="22">
        <v>12</v>
      </c>
      <c r="C94">
        <v>1.5</v>
      </c>
      <c r="D94" s="46">
        <f t="array" ref="D94">+INDEX('OUTCOME MODEL'!$U$10:$Z$87,MATCH(Table1[[#This Row],[DRIVERS]]&amp;Table1[[#This Row],[DEMAND]],'OUTCOME MODEL'!$A$10:$A$87&amp;'OUTCOME MODEL'!$B$10:$B$87,0),MATCH(Table1[[#This Row],[CAPACITY]],'OUTCOME MODEL'!$U$9:$Z$9))</f>
        <v>14.671514130211115</v>
      </c>
      <c r="E94" s="58">
        <f t="array" ref="E94">+INDEX('OUTCOME MODEL'!$C$10:$H$87,MATCH(Table1[[#This Row],[DRIVERS]]&amp;Table1[[#This Row],[DEMAND]],'OUTCOME MODEL'!$A$10:$A$87&amp;'OUTCOME MODEL'!$B$10:$B$87,0),MATCH(Table1[[#This Row],[CAPACITY]],'OUTCOME MODEL'!$C$9:$H$9))</f>
        <v>1.1178296480160848</v>
      </c>
      <c r="F94" s="58">
        <f t="array" ref="F94">+INDEX('OUTCOME MODEL'!$I$10:$N$87,MATCH(Table1[[#This Row],[DRIVERS]]&amp;Table1[[#This Row],[DEMAND]],'OUTCOME MODEL'!$A$10:$A$87&amp;'OUTCOME MODEL'!$B$10:$B$87,0),MATCH(Table1[[#This Row],[CAPACITY]],'OUTCOME MODEL'!$I$9:$N$9))</f>
        <v>0.14199999999999999</v>
      </c>
      <c r="G94" s="60">
        <f t="array" ref="G94">+INDEX('OUTCOME MODEL'!$O$10:$T$87,MATCH(Table1[[#This Row],[DRIVERS]]&amp;Table1[[#This Row],[DEMAND]],'OUTCOME MODEL'!$A$10:$A$87&amp;'OUTCOME MODEL'!$B$10:$B$87,0),MATCH(Table1[[#This Row],[CAPACITY]],'OUTCOME MODEL'!$O$9:$T$9))</f>
        <v>1.6767444720241271</v>
      </c>
    </row>
    <row r="95" spans="1:7" x14ac:dyDescent="0.35">
      <c r="A95" s="48">
        <v>2</v>
      </c>
      <c r="B95" s="49">
        <v>0</v>
      </c>
      <c r="C95">
        <v>1.5</v>
      </c>
      <c r="D95" s="46">
        <f t="array" ref="D95">+INDEX('OUTCOME MODEL'!$U$10:$Z$87,MATCH(Table1[[#This Row],[DRIVERS]]&amp;Table1[[#This Row],[DEMAND]],'OUTCOME MODEL'!$A$10:$A$87&amp;'OUTCOME MODEL'!$B$10:$B$87,0),MATCH(Table1[[#This Row],[CAPACITY]],'OUTCOME MODEL'!$U$9:$Z$9))</f>
        <v>0</v>
      </c>
      <c r="E95" s="58">
        <f t="array" ref="E95">+INDEX('OUTCOME MODEL'!$C$10:$H$87,MATCH(Table1[[#This Row],[DRIVERS]]&amp;Table1[[#This Row],[DEMAND]],'OUTCOME MODEL'!$A$10:$A$87&amp;'OUTCOME MODEL'!$B$10:$B$87,0),MATCH(Table1[[#This Row],[CAPACITY]],'OUTCOME MODEL'!$C$9:$H$9))</f>
        <v>0</v>
      </c>
      <c r="F95" s="58">
        <f t="array" ref="F9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95" s="60">
        <f t="array" ref="G95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96" spans="1:7" x14ac:dyDescent="0.35">
      <c r="A96" s="45">
        <v>2</v>
      </c>
      <c r="B96" s="22">
        <v>1</v>
      </c>
      <c r="C96">
        <v>1.5</v>
      </c>
      <c r="D96" s="46">
        <f t="array" ref="D96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96" s="58">
        <f t="array" ref="E96">+INDEX('OUTCOME MODEL'!$C$10:$H$87,MATCH(Table1[[#This Row],[DRIVERS]]&amp;Table1[[#This Row],[DEMAND]],'OUTCOME MODEL'!$A$10:$A$87&amp;'OUTCOME MODEL'!$B$10:$B$87,0),MATCH(Table1[[#This Row],[CAPACITY]],'OUTCOME MODEL'!$C$9:$H$9))</f>
        <v>0.34637107069801626</v>
      </c>
      <c r="F96" s="58">
        <f t="array" ref="F96">+INDEX('OUTCOME MODEL'!$I$10:$N$87,MATCH(Table1[[#This Row],[DRIVERS]]&amp;Table1[[#This Row],[DEMAND]],'OUTCOME MODEL'!$A$10:$A$87&amp;'OUTCOME MODEL'!$B$10:$B$87,0),MATCH(Table1[[#This Row],[CAPACITY]],'OUTCOME MODEL'!$I$9:$N$9))</f>
        <v>0.83</v>
      </c>
      <c r="G96" s="60">
        <f t="array" ref="G96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97" spans="1:7" x14ac:dyDescent="0.35">
      <c r="A97" s="45">
        <v>2</v>
      </c>
      <c r="B97" s="22">
        <v>2</v>
      </c>
      <c r="C97">
        <v>1.5</v>
      </c>
      <c r="D97" s="46">
        <f t="array" ref="D97">+INDEX('OUTCOME MODEL'!$U$10:$Z$87,MATCH(Table1[[#This Row],[DRIVERS]]&amp;Table1[[#This Row],[DEMAND]],'OUTCOME MODEL'!$A$10:$A$87&amp;'OUTCOME MODEL'!$B$10:$B$87,0),MATCH(Table1[[#This Row],[CAPACITY]],'OUTCOME MODEL'!$U$9:$Z$9))</f>
        <v>15.468192115917422</v>
      </c>
      <c r="E97" s="58">
        <f t="array" ref="E97">+INDEX('OUTCOME MODEL'!$C$10:$H$87,MATCH(Table1[[#This Row],[DRIVERS]]&amp;Table1[[#This Row],[DEMAND]],'OUTCOME MODEL'!$A$10:$A$87&amp;'OUTCOME MODEL'!$B$10:$B$87,0),MATCH(Table1[[#This Row],[CAPACITY]],'OUTCOME MODEL'!$C$9:$H$9))</f>
        <v>0.589264461558759</v>
      </c>
      <c r="F97" s="58">
        <f t="array" ref="F97">+INDEX('OUTCOME MODEL'!$I$10:$N$87,MATCH(Table1[[#This Row],[DRIVERS]]&amp;Table1[[#This Row],[DEMAND]],'OUTCOME MODEL'!$A$10:$A$87&amp;'OUTCOME MODEL'!$B$10:$B$87,0),MATCH(Table1[[#This Row],[CAPACITY]],'OUTCOME MODEL'!$I$9:$N$9))</f>
        <v>0.71699999999999997</v>
      </c>
      <c r="G97" s="60">
        <f t="array" ref="G97">+INDEX('OUTCOME MODEL'!$O$10:$T$87,MATCH(Table1[[#This Row],[DRIVERS]]&amp;Table1[[#This Row],[DEMAND]],'OUTCOME MODEL'!$A$10:$A$87&amp;'OUTCOME MODEL'!$B$10:$B$87,0),MATCH(Table1[[#This Row],[CAPACITY]],'OUTCOME MODEL'!$O$9:$T$9))</f>
        <v>0.8838966923381385</v>
      </c>
    </row>
    <row r="98" spans="1:7" x14ac:dyDescent="0.35">
      <c r="A98" s="45">
        <v>2</v>
      </c>
      <c r="B98" s="22">
        <v>3</v>
      </c>
      <c r="C98">
        <v>1.5</v>
      </c>
      <c r="D98" s="46">
        <f t="array" ref="D98">+INDEX('OUTCOME MODEL'!$U$10:$Z$87,MATCH(Table1[[#This Row],[DRIVERS]]&amp;Table1[[#This Row],[DEMAND]],'OUTCOME MODEL'!$A$10:$A$87&amp;'OUTCOME MODEL'!$B$10:$B$87,0),MATCH(Table1[[#This Row],[CAPACITY]],'OUTCOME MODEL'!$U$9:$Z$9))</f>
        <v>19.706052435117428</v>
      </c>
      <c r="E98" s="58">
        <f t="array" ref="E98">+INDEX('OUTCOME MODEL'!$C$10:$H$87,MATCH(Table1[[#This Row],[DRIVERS]]&amp;Table1[[#This Row],[DEMAND]],'OUTCOME MODEL'!$A$10:$A$87&amp;'OUTCOME MODEL'!$B$10:$B$87,0),MATCH(Table1[[#This Row],[CAPACITY]],'OUTCOME MODEL'!$C$9:$H$9))</f>
        <v>0.75070675943304488</v>
      </c>
      <c r="F98" s="58">
        <f t="array" ref="F98">+INDEX('OUTCOME MODEL'!$I$10:$N$87,MATCH(Table1[[#This Row],[DRIVERS]]&amp;Table1[[#This Row],[DEMAND]],'OUTCOME MODEL'!$A$10:$A$87&amp;'OUTCOME MODEL'!$B$10:$B$87,0),MATCH(Table1[[#This Row],[CAPACITY]],'OUTCOME MODEL'!$I$9:$N$9))</f>
        <v>0.66300000000000003</v>
      </c>
      <c r="G98" s="60">
        <f t="array" ref="G98">+INDEX('OUTCOME MODEL'!$O$10:$T$87,MATCH(Table1[[#This Row],[DRIVERS]]&amp;Table1[[#This Row],[DEMAND]],'OUTCOME MODEL'!$A$10:$A$87&amp;'OUTCOME MODEL'!$B$10:$B$87,0),MATCH(Table1[[#This Row],[CAPACITY]],'OUTCOME MODEL'!$O$9:$T$9))</f>
        <v>1.1260601391495673</v>
      </c>
    </row>
    <row r="99" spans="1:7" x14ac:dyDescent="0.35">
      <c r="A99" s="19">
        <v>2</v>
      </c>
      <c r="B99" s="20">
        <v>4</v>
      </c>
      <c r="C99">
        <v>1.5</v>
      </c>
      <c r="D99" s="46">
        <f t="array" ref="D99">+INDEX('OUTCOME MODEL'!$U$10:$Z$87,MATCH(Table1[[#This Row],[DRIVERS]]&amp;Table1[[#This Row],[DEMAND]],'OUTCOME MODEL'!$A$10:$A$87&amp;'OUTCOME MODEL'!$B$10:$B$87,0),MATCH(Table1[[#This Row],[CAPACITY]],'OUTCOME MODEL'!$U$9:$Z$9))</f>
        <v>22.347303628439349</v>
      </c>
      <c r="E99" s="58">
        <f t="array" ref="E99">+INDEX('OUTCOME MODEL'!$C$10:$H$87,MATCH(Table1[[#This Row],[DRIVERS]]&amp;Table1[[#This Row],[DEMAND]],'OUTCOME MODEL'!$A$10:$A$87&amp;'OUTCOME MODEL'!$B$10:$B$87,0),MATCH(Table1[[#This Row],[CAPACITY]],'OUTCOME MODEL'!$C$9:$H$9))</f>
        <v>0.85132585251197523</v>
      </c>
      <c r="F99" s="58">
        <f t="array" ref="F99">+INDEX('OUTCOME MODEL'!$I$10:$N$87,MATCH(Table1[[#This Row],[DRIVERS]]&amp;Table1[[#This Row],[DEMAND]],'OUTCOME MODEL'!$A$10:$A$87&amp;'OUTCOME MODEL'!$B$10:$B$87,0),MATCH(Table1[[#This Row],[CAPACITY]],'OUTCOME MODEL'!$I$9:$N$9))</f>
        <v>0.57299999999999995</v>
      </c>
      <c r="G99" s="60">
        <f t="array" ref="G99">+INDEX('OUTCOME MODEL'!$O$10:$T$87,MATCH(Table1[[#This Row],[DRIVERS]]&amp;Table1[[#This Row],[DEMAND]],'OUTCOME MODEL'!$A$10:$A$87&amp;'OUTCOME MODEL'!$B$10:$B$87,0),MATCH(Table1[[#This Row],[CAPACITY]],'OUTCOME MODEL'!$O$9:$T$9))</f>
        <v>1.2769887787679628</v>
      </c>
    </row>
    <row r="100" spans="1:7" x14ac:dyDescent="0.35">
      <c r="A100" s="45">
        <v>2</v>
      </c>
      <c r="B100" s="22">
        <v>5</v>
      </c>
      <c r="C100">
        <v>1.5</v>
      </c>
      <c r="D100" s="46">
        <f t="array" ref="D100">+INDEX('OUTCOME MODEL'!$U$10:$Z$87,MATCH(Table1[[#This Row],[DRIVERS]]&amp;Table1[[#This Row],[DEMAND]],'OUTCOME MODEL'!$A$10:$A$87&amp;'OUTCOME MODEL'!$B$10:$B$87,0),MATCH(Table1[[#This Row],[CAPACITY]],'OUTCOME MODEL'!$U$9:$Z$9))</f>
        <v>23.961811738825091</v>
      </c>
      <c r="E100" s="58">
        <f t="array" ref="E100">+INDEX('OUTCOME MODEL'!$C$10:$H$87,MATCH(Table1[[#This Row],[DRIVERS]]&amp;Table1[[#This Row],[DEMAND]],'OUTCOME MODEL'!$A$10:$A$87&amp;'OUTCOME MODEL'!$B$10:$B$87,0),MATCH(Table1[[#This Row],[CAPACITY]],'OUTCOME MODEL'!$C$9:$H$9))</f>
        <v>0.91283092338381322</v>
      </c>
      <c r="F100" s="58">
        <f t="array" ref="F100">+INDEX('OUTCOME MODEL'!$I$10:$N$87,MATCH(Table1[[#This Row],[DRIVERS]]&amp;Table1[[#This Row],[DEMAND]],'OUTCOME MODEL'!$A$10:$A$87&amp;'OUTCOME MODEL'!$B$10:$B$87,0),MATCH(Table1[[#This Row],[CAPACITY]],'OUTCOME MODEL'!$I$9:$N$9))</f>
        <v>0.46800000000000003</v>
      </c>
      <c r="G100" s="60">
        <f t="array" ref="G100">+INDEX('OUTCOME MODEL'!$O$10:$T$87,MATCH(Table1[[#This Row],[DRIVERS]]&amp;Table1[[#This Row],[DEMAND]],'OUTCOME MODEL'!$A$10:$A$87&amp;'OUTCOME MODEL'!$B$10:$B$87,0),MATCH(Table1[[#This Row],[CAPACITY]],'OUTCOME MODEL'!$O$9:$T$9))</f>
        <v>1.3692463850757197</v>
      </c>
    </row>
    <row r="101" spans="1:7" x14ac:dyDescent="0.35">
      <c r="A101" s="45">
        <v>2</v>
      </c>
      <c r="B101" s="22">
        <v>6</v>
      </c>
      <c r="C101">
        <v>1.5</v>
      </c>
      <c r="D101" s="46">
        <f t="array" ref="D101">+INDEX('OUTCOME MODEL'!$U$10:$Z$87,MATCH(Table1[[#This Row],[DRIVERS]]&amp;Table1[[#This Row],[DEMAND]],'OUTCOME MODEL'!$A$10:$A$87&amp;'OUTCOME MODEL'!$B$10:$B$87,0),MATCH(Table1[[#This Row],[CAPACITY]],'OUTCOME MODEL'!$U$9:$Z$9))</f>
        <v>25.31202473616478</v>
      </c>
      <c r="E101" s="58">
        <f t="array" ref="E101">+INDEX('OUTCOME MODEL'!$C$10:$H$87,MATCH(Table1[[#This Row],[DRIVERS]]&amp;Table1[[#This Row],[DEMAND]],'OUTCOME MODEL'!$A$10:$A$87&amp;'OUTCOME MODEL'!$B$10:$B$87,0),MATCH(Table1[[#This Row],[CAPACITY]],'OUTCOME MODEL'!$C$9:$H$9))</f>
        <v>0.96426760899675346</v>
      </c>
      <c r="F101" s="58">
        <f t="array" ref="F101">+INDEX('OUTCOME MODEL'!$I$10:$N$87,MATCH(Table1[[#This Row],[DRIVERS]]&amp;Table1[[#This Row],[DEMAND]],'OUTCOME MODEL'!$A$10:$A$87&amp;'OUTCOME MODEL'!$B$10:$B$87,0),MATCH(Table1[[#This Row],[CAPACITY]],'OUTCOME MODEL'!$I$9:$N$9))</f>
        <v>0.41699999999999998</v>
      </c>
      <c r="G101" s="60">
        <f t="array" ref="G101">+INDEX('OUTCOME MODEL'!$O$10:$T$87,MATCH(Table1[[#This Row],[DRIVERS]]&amp;Table1[[#This Row],[DEMAND]],'OUTCOME MODEL'!$A$10:$A$87&amp;'OUTCOME MODEL'!$B$10:$B$87,0),MATCH(Table1[[#This Row],[CAPACITY]],'OUTCOME MODEL'!$O$9:$T$9))</f>
        <v>1.4464014134951302</v>
      </c>
    </row>
    <row r="102" spans="1:7" x14ac:dyDescent="0.35">
      <c r="A102" s="45">
        <v>2</v>
      </c>
      <c r="B102" s="22">
        <v>7</v>
      </c>
      <c r="C102">
        <v>1.5</v>
      </c>
      <c r="D102" s="46">
        <f t="array" ref="D102">+INDEX('OUTCOME MODEL'!$U$10:$Z$87,MATCH(Table1[[#This Row],[DRIVERS]]&amp;Table1[[#This Row],[DEMAND]],'OUTCOME MODEL'!$A$10:$A$87&amp;'OUTCOME MODEL'!$B$10:$B$87,0),MATCH(Table1[[#This Row],[CAPACITY]],'OUTCOME MODEL'!$U$9:$Z$9))</f>
        <v>26.214913795729071</v>
      </c>
      <c r="E102" s="58">
        <f t="array" ref="E102">+INDEX('OUTCOME MODEL'!$C$10:$H$87,MATCH(Table1[[#This Row],[DRIVERS]]&amp;Table1[[#This Row],[DEMAND]],'OUTCOME MODEL'!$A$10:$A$87&amp;'OUTCOME MODEL'!$B$10:$B$87,0),MATCH(Table1[[#This Row],[CAPACITY]],'OUTCOME MODEL'!$C$9:$H$9))</f>
        <v>0.99866338269444066</v>
      </c>
      <c r="F102" s="58">
        <f t="array" ref="F102">+INDEX('OUTCOME MODEL'!$I$10:$N$87,MATCH(Table1[[#This Row],[DRIVERS]]&amp;Table1[[#This Row],[DEMAND]],'OUTCOME MODEL'!$A$10:$A$87&amp;'OUTCOME MODEL'!$B$10:$B$87,0),MATCH(Table1[[#This Row],[CAPACITY]],'OUTCOME MODEL'!$I$9:$N$9))</f>
        <v>0.373</v>
      </c>
      <c r="G102" s="60">
        <f t="array" ref="G102">+INDEX('OUTCOME MODEL'!$O$10:$T$87,MATCH(Table1[[#This Row],[DRIVERS]]&amp;Table1[[#This Row],[DEMAND]],'OUTCOME MODEL'!$A$10:$A$87&amp;'OUTCOME MODEL'!$B$10:$B$87,0),MATCH(Table1[[#This Row],[CAPACITY]],'OUTCOME MODEL'!$O$9:$T$9))</f>
        <v>1.497995074041661</v>
      </c>
    </row>
    <row r="103" spans="1:7" x14ac:dyDescent="0.35">
      <c r="A103" s="45">
        <v>2</v>
      </c>
      <c r="B103" s="22">
        <v>8</v>
      </c>
      <c r="C103">
        <v>1.5</v>
      </c>
      <c r="D103" s="46">
        <f t="array" ref="D103">+INDEX('OUTCOME MODEL'!$U$10:$Z$87,MATCH(Table1[[#This Row],[DRIVERS]]&amp;Table1[[#This Row],[DEMAND]],'OUTCOME MODEL'!$A$10:$A$87&amp;'OUTCOME MODEL'!$B$10:$B$87,0),MATCH(Table1[[#This Row],[CAPACITY]],'OUTCOME MODEL'!$U$9:$Z$9))</f>
        <v>26.702735869357447</v>
      </c>
      <c r="E103" s="58">
        <f t="array" ref="E103">+INDEX('OUTCOME MODEL'!$C$10:$H$87,MATCH(Table1[[#This Row],[DRIVERS]]&amp;Table1[[#This Row],[DEMAND]],'OUTCOME MODEL'!$A$10:$A$87&amp;'OUTCOME MODEL'!$B$10:$B$87,0),MATCH(Table1[[#This Row],[CAPACITY]],'OUTCOME MODEL'!$C$9:$H$9))</f>
        <v>1.0172470807374265</v>
      </c>
      <c r="F103" s="58">
        <f t="array" ref="F103">+INDEX('OUTCOME MODEL'!$I$10:$N$87,MATCH(Table1[[#This Row],[DRIVERS]]&amp;Table1[[#This Row],[DEMAND]],'OUTCOME MODEL'!$A$10:$A$87&amp;'OUTCOME MODEL'!$B$10:$B$87,0),MATCH(Table1[[#This Row],[CAPACITY]],'OUTCOME MODEL'!$I$9:$N$9))</f>
        <v>0.34300000000000003</v>
      </c>
      <c r="G103" s="60">
        <f t="array" ref="G103">+INDEX('OUTCOME MODEL'!$O$10:$T$87,MATCH(Table1[[#This Row],[DRIVERS]]&amp;Table1[[#This Row],[DEMAND]],'OUTCOME MODEL'!$A$10:$A$87&amp;'OUTCOME MODEL'!$B$10:$B$87,0),MATCH(Table1[[#This Row],[CAPACITY]],'OUTCOME MODEL'!$O$9:$T$9))</f>
        <v>1.5258706211061397</v>
      </c>
    </row>
    <row r="104" spans="1:7" x14ac:dyDescent="0.35">
      <c r="A104" s="45">
        <v>2</v>
      </c>
      <c r="B104" s="22">
        <v>9</v>
      </c>
      <c r="C104">
        <v>1.5</v>
      </c>
      <c r="D104" s="46">
        <f t="array" ref="D104">+INDEX('OUTCOME MODEL'!$U$10:$Z$87,MATCH(Table1[[#This Row],[DRIVERS]]&amp;Table1[[#This Row],[DEMAND]],'OUTCOME MODEL'!$A$10:$A$87&amp;'OUTCOME MODEL'!$B$10:$B$87,0),MATCH(Table1[[#This Row],[CAPACITY]],'OUTCOME MODEL'!$U$9:$Z$9))</f>
        <v>27.117866244209441</v>
      </c>
      <c r="E104" s="58">
        <f t="array" ref="E104">+INDEX('OUTCOME MODEL'!$C$10:$H$87,MATCH(Table1[[#This Row],[DRIVERS]]&amp;Table1[[#This Row],[DEMAND]],'OUTCOME MODEL'!$A$10:$A$87&amp;'OUTCOME MODEL'!$B$10:$B$87,0),MATCH(Table1[[#This Row],[CAPACITY]],'OUTCOME MODEL'!$C$9:$H$9))</f>
        <v>1.0330615712079787</v>
      </c>
      <c r="F104" s="58">
        <f t="array" ref="F104">+INDEX('OUTCOME MODEL'!$I$10:$N$87,MATCH(Table1[[#This Row],[DRIVERS]]&amp;Table1[[#This Row],[DEMAND]],'OUTCOME MODEL'!$A$10:$A$87&amp;'OUTCOME MODEL'!$B$10:$B$87,0),MATCH(Table1[[#This Row],[CAPACITY]],'OUTCOME MODEL'!$I$9:$N$9))</f>
        <v>0.32700000000000001</v>
      </c>
      <c r="G104" s="60">
        <f t="array" ref="G104">+INDEX('OUTCOME MODEL'!$O$10:$T$87,MATCH(Table1[[#This Row],[DRIVERS]]&amp;Table1[[#This Row],[DEMAND]],'OUTCOME MODEL'!$A$10:$A$87&amp;'OUTCOME MODEL'!$B$10:$B$87,0),MATCH(Table1[[#This Row],[CAPACITY]],'OUTCOME MODEL'!$O$9:$T$9))</f>
        <v>1.5495923568119681</v>
      </c>
    </row>
    <row r="105" spans="1:7" x14ac:dyDescent="0.35">
      <c r="A105" s="45">
        <v>2</v>
      </c>
      <c r="B105" s="22">
        <v>10</v>
      </c>
      <c r="C105">
        <v>1.5</v>
      </c>
      <c r="D105" s="46">
        <f t="array" ref="D105">+INDEX('OUTCOME MODEL'!$U$10:$Z$87,MATCH(Table1[[#This Row],[DRIVERS]]&amp;Table1[[#This Row],[DEMAND]],'OUTCOME MODEL'!$A$10:$A$87&amp;'OUTCOME MODEL'!$B$10:$B$87,0),MATCH(Table1[[#This Row],[CAPACITY]],'OUTCOME MODEL'!$U$9:$Z$9))</f>
        <v>27.447221311889429</v>
      </c>
      <c r="E105" s="58">
        <f t="array" ref="E105">+INDEX('OUTCOME MODEL'!$C$10:$H$87,MATCH(Table1[[#This Row],[DRIVERS]]&amp;Table1[[#This Row],[DEMAND]],'OUTCOME MODEL'!$A$10:$A$87&amp;'OUTCOME MODEL'!$B$10:$B$87,0),MATCH(Table1[[#This Row],[CAPACITY]],'OUTCOME MODEL'!$C$9:$H$9))</f>
        <v>1.0456084309291211</v>
      </c>
      <c r="F105" s="58">
        <f t="array" ref="F105">+INDEX('OUTCOME MODEL'!$I$10:$N$87,MATCH(Table1[[#This Row],[DRIVERS]]&amp;Table1[[#This Row],[DEMAND]],'OUTCOME MODEL'!$A$10:$A$87&amp;'OUTCOME MODEL'!$B$10:$B$87,0),MATCH(Table1[[#This Row],[CAPACITY]],'OUTCOME MODEL'!$I$9:$N$9))</f>
        <v>0.32200000000000001</v>
      </c>
      <c r="G105" s="60">
        <f t="array" ref="G105">+INDEX('OUTCOME MODEL'!$O$10:$T$87,MATCH(Table1[[#This Row],[DRIVERS]]&amp;Table1[[#This Row],[DEMAND]],'OUTCOME MODEL'!$A$10:$A$87&amp;'OUTCOME MODEL'!$B$10:$B$87,0),MATCH(Table1[[#This Row],[CAPACITY]],'OUTCOME MODEL'!$O$9:$T$9))</f>
        <v>1.5684126463936816</v>
      </c>
    </row>
    <row r="106" spans="1:7" x14ac:dyDescent="0.35">
      <c r="A106" s="45">
        <v>2</v>
      </c>
      <c r="B106" s="22">
        <v>11</v>
      </c>
      <c r="C106">
        <v>1.5</v>
      </c>
      <c r="D106" s="46">
        <f t="array" ref="D106">+INDEX('OUTCOME MODEL'!$U$10:$Z$87,MATCH(Table1[[#This Row],[DRIVERS]]&amp;Table1[[#This Row],[DEMAND]],'OUTCOME MODEL'!$A$10:$A$87&amp;'OUTCOME MODEL'!$B$10:$B$87,0),MATCH(Table1[[#This Row],[CAPACITY]],'OUTCOME MODEL'!$U$9:$Z$9))</f>
        <v>27.597929017628537</v>
      </c>
      <c r="E106" s="58">
        <f t="array" ref="E106">+INDEX('OUTCOME MODEL'!$C$10:$H$87,MATCH(Table1[[#This Row],[DRIVERS]]&amp;Table1[[#This Row],[DEMAND]],'OUTCOME MODEL'!$A$10:$A$87&amp;'OUTCOME MODEL'!$B$10:$B$87,0),MATCH(Table1[[#This Row],[CAPACITY]],'OUTCOME MODEL'!$C$9:$H$9))</f>
        <v>1.0513496768620394</v>
      </c>
      <c r="F106" s="58">
        <f t="array" ref="F106">+INDEX('OUTCOME MODEL'!$I$10:$N$87,MATCH(Table1[[#This Row],[DRIVERS]]&amp;Table1[[#This Row],[DEMAND]],'OUTCOME MODEL'!$A$10:$A$87&amp;'OUTCOME MODEL'!$B$10:$B$87,0),MATCH(Table1[[#This Row],[CAPACITY]],'OUTCOME MODEL'!$I$9:$N$9))</f>
        <v>0.26500000000000001</v>
      </c>
      <c r="G106" s="60">
        <f t="array" ref="G106">+INDEX('OUTCOME MODEL'!$O$10:$T$87,MATCH(Table1[[#This Row],[DRIVERS]]&amp;Table1[[#This Row],[DEMAND]],'OUTCOME MODEL'!$A$10:$A$87&amp;'OUTCOME MODEL'!$B$10:$B$87,0),MATCH(Table1[[#This Row],[CAPACITY]],'OUTCOME MODEL'!$O$9:$T$9))</f>
        <v>1.5770245152930591</v>
      </c>
    </row>
    <row r="107" spans="1:7" x14ac:dyDescent="0.35">
      <c r="A107" s="45">
        <v>2</v>
      </c>
      <c r="B107" s="22">
        <v>12</v>
      </c>
      <c r="C107">
        <v>1.5</v>
      </c>
      <c r="D107" s="46">
        <f t="array" ref="D107">+INDEX('OUTCOME MODEL'!$U$10:$Z$87,MATCH(Table1[[#This Row],[DRIVERS]]&amp;Table1[[#This Row],[DEMAND]],'OUTCOME MODEL'!$A$10:$A$87&amp;'OUTCOME MODEL'!$B$10:$B$87,0),MATCH(Table1[[#This Row],[CAPACITY]],'OUTCOME MODEL'!$U$9:$Z$9))</f>
        <v>27.968805825121329</v>
      </c>
      <c r="E107" s="58">
        <f t="array" ref="E107">+INDEX('OUTCOME MODEL'!$C$10:$H$87,MATCH(Table1[[#This Row],[DRIVERS]]&amp;Table1[[#This Row],[DEMAND]],'OUTCOME MODEL'!$A$10:$A$87&amp;'OUTCOME MODEL'!$B$10:$B$87,0),MATCH(Table1[[#This Row],[CAPACITY]],'OUTCOME MODEL'!$C$9:$H$9))</f>
        <v>1.0654783171474793</v>
      </c>
      <c r="F107" s="58">
        <f t="array" ref="F107">+INDEX('OUTCOME MODEL'!$I$10:$N$87,MATCH(Table1[[#This Row],[DRIVERS]]&amp;Table1[[#This Row],[DEMAND]],'OUTCOME MODEL'!$A$10:$A$87&amp;'OUTCOME MODEL'!$B$10:$B$87,0),MATCH(Table1[[#This Row],[CAPACITY]],'OUTCOME MODEL'!$I$9:$N$9))</f>
        <v>0.253</v>
      </c>
      <c r="G107" s="60">
        <f t="array" ref="G107">+INDEX('OUTCOME MODEL'!$O$10:$T$87,MATCH(Table1[[#This Row],[DRIVERS]]&amp;Table1[[#This Row],[DEMAND]],'OUTCOME MODEL'!$A$10:$A$87&amp;'OUTCOME MODEL'!$B$10:$B$87,0),MATCH(Table1[[#This Row],[CAPACITY]],'OUTCOME MODEL'!$O$9:$T$9))</f>
        <v>1.5982174757212189</v>
      </c>
    </row>
    <row r="108" spans="1:7" x14ac:dyDescent="0.35">
      <c r="A108" s="48">
        <v>3</v>
      </c>
      <c r="B108" s="49">
        <v>0</v>
      </c>
      <c r="C108">
        <v>1.5</v>
      </c>
      <c r="D108" s="46">
        <f t="array" ref="D108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08" s="58">
        <f t="array" ref="E108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08" s="58">
        <f t="array" ref="F10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08" s="60">
        <f t="array" ref="G108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09" spans="1:7" x14ac:dyDescent="0.35">
      <c r="A109" s="45">
        <v>3</v>
      </c>
      <c r="B109" s="22">
        <v>1</v>
      </c>
      <c r="C109">
        <v>1.5</v>
      </c>
      <c r="D109" s="46">
        <f t="array" ref="D109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09" s="58">
        <f t="array" ref="E109">+INDEX('OUTCOME MODEL'!$C$10:$H$87,MATCH(Table1[[#This Row],[DRIVERS]]&amp;Table1[[#This Row],[DEMAND]],'OUTCOME MODEL'!$A$10:$A$87&amp;'OUTCOME MODEL'!$B$10:$B$87,0),MATCH(Table1[[#This Row],[CAPACITY]],'OUTCOME MODEL'!$C$9:$H$9))</f>
        <v>0.24784781895949842</v>
      </c>
      <c r="F109" s="58">
        <f t="array" ref="F109">+INDEX('OUTCOME MODEL'!$I$10:$N$87,MATCH(Table1[[#This Row],[DRIVERS]]&amp;Table1[[#This Row],[DEMAND]],'OUTCOME MODEL'!$A$10:$A$87&amp;'OUTCOME MODEL'!$B$10:$B$87,0),MATCH(Table1[[#This Row],[CAPACITY]],'OUTCOME MODEL'!$I$9:$N$9))</f>
        <v>0.89500000000000002</v>
      </c>
      <c r="G109" s="60">
        <f t="array" ref="G109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110" spans="1:7" x14ac:dyDescent="0.35">
      <c r="A110" s="45">
        <v>3</v>
      </c>
      <c r="B110" s="22">
        <v>2</v>
      </c>
      <c r="C110">
        <v>1.5</v>
      </c>
      <c r="D110" s="46">
        <f t="array" ref="D110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10" s="58">
        <f t="array" ref="E110">+INDEX('OUTCOME MODEL'!$C$10:$H$87,MATCH(Table1[[#This Row],[DRIVERS]]&amp;Table1[[#This Row],[DEMAND]],'OUTCOME MODEL'!$A$10:$A$87&amp;'OUTCOME MODEL'!$B$10:$B$87,0),MATCH(Table1[[#This Row],[CAPACITY]],'OUTCOME MODEL'!$C$9:$H$9))</f>
        <v>0.45975376249585431</v>
      </c>
      <c r="F110" s="58">
        <f t="array" ref="F110">+INDEX('OUTCOME MODEL'!$I$10:$N$87,MATCH(Table1[[#This Row],[DRIVERS]]&amp;Table1[[#This Row],[DEMAND]],'OUTCOME MODEL'!$A$10:$A$87&amp;'OUTCOME MODEL'!$B$10:$B$87,0),MATCH(Table1[[#This Row],[CAPACITY]],'OUTCOME MODEL'!$I$9:$N$9))</f>
        <v>0.83799999999999997</v>
      </c>
      <c r="G110" s="60">
        <f t="array" ref="G110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111" spans="1:7" x14ac:dyDescent="0.35">
      <c r="A111" s="19">
        <v>3</v>
      </c>
      <c r="B111" s="20">
        <v>3</v>
      </c>
      <c r="C111">
        <v>1.5</v>
      </c>
      <c r="D111" s="46">
        <f t="array" ref="D111">+INDEX('OUTCOME MODEL'!$U$10:$Z$87,MATCH(Table1[[#This Row],[DRIVERS]]&amp;Table1[[#This Row],[DEMAND]],'OUTCOME MODEL'!$A$10:$A$87&amp;'OUTCOME MODEL'!$B$10:$B$87,0),MATCH(Table1[[#This Row],[CAPACITY]],'OUTCOME MODEL'!$U$9:$Z$9))</f>
        <v>24.351711470237078</v>
      </c>
      <c r="E111" s="58">
        <f t="array" ref="E111">+INDEX('OUTCOME MODEL'!$C$10:$H$87,MATCH(Table1[[#This Row],[DRIVERS]]&amp;Table1[[#This Row],[DEMAND]],'OUTCOME MODEL'!$A$10:$A$87&amp;'OUTCOME MODEL'!$B$10:$B$87,0),MATCH(Table1[[#This Row],[CAPACITY]],'OUTCOME MODEL'!$C$9:$H$9))</f>
        <v>0.61845616432348127</v>
      </c>
      <c r="F111" s="58">
        <f t="array" ref="F111">+INDEX('OUTCOME MODEL'!$I$10:$N$87,MATCH(Table1[[#This Row],[DRIVERS]]&amp;Table1[[#This Row],[DEMAND]],'OUTCOME MODEL'!$A$10:$A$87&amp;'OUTCOME MODEL'!$B$10:$B$87,0),MATCH(Table1[[#This Row],[CAPACITY]],'OUTCOME MODEL'!$I$9:$N$9))</f>
        <v>0.79</v>
      </c>
      <c r="G111" s="60">
        <f t="array" ref="G111">+INDEX('OUTCOME MODEL'!$O$10:$T$87,MATCH(Table1[[#This Row],[DRIVERS]]&amp;Table1[[#This Row],[DEMAND]],'OUTCOME MODEL'!$A$10:$A$87&amp;'OUTCOME MODEL'!$B$10:$B$87,0),MATCH(Table1[[#This Row],[CAPACITY]],'OUTCOME MODEL'!$O$9:$T$9))</f>
        <v>0.92768424648522196</v>
      </c>
    </row>
    <row r="112" spans="1:7" x14ac:dyDescent="0.35">
      <c r="A112" s="45">
        <v>3</v>
      </c>
      <c r="B112" s="22">
        <v>4</v>
      </c>
      <c r="C112">
        <v>1.5</v>
      </c>
      <c r="D112" s="46">
        <f t="array" ref="D112">+INDEX('OUTCOME MODEL'!$U$10:$Z$87,MATCH(Table1[[#This Row],[DRIVERS]]&amp;Table1[[#This Row],[DEMAND]],'OUTCOME MODEL'!$A$10:$A$87&amp;'OUTCOME MODEL'!$B$10:$B$87,0),MATCH(Table1[[#This Row],[CAPACITY]],'OUTCOME MODEL'!$U$9:$Z$9))</f>
        <v>28.777747376274803</v>
      </c>
      <c r="E112" s="58">
        <f t="array" ref="E112">+INDEX('OUTCOME MODEL'!$C$10:$H$87,MATCH(Table1[[#This Row],[DRIVERS]]&amp;Table1[[#This Row],[DEMAND]],'OUTCOME MODEL'!$A$10:$A$87&amp;'OUTCOME MODEL'!$B$10:$B$87,0),MATCH(Table1[[#This Row],[CAPACITY]],'OUTCOME MODEL'!$C$9:$H$9))</f>
        <v>0.73086342542920135</v>
      </c>
      <c r="F112" s="58">
        <f t="array" ref="F112">+INDEX('OUTCOME MODEL'!$I$10:$N$87,MATCH(Table1[[#This Row],[DRIVERS]]&amp;Table1[[#This Row],[DEMAND]],'OUTCOME MODEL'!$A$10:$A$87&amp;'OUTCOME MODEL'!$B$10:$B$87,0),MATCH(Table1[[#This Row],[CAPACITY]],'OUTCOME MODEL'!$I$9:$N$9))</f>
        <v>0.71</v>
      </c>
      <c r="G112" s="60">
        <f t="array" ref="G112">+INDEX('OUTCOME MODEL'!$O$10:$T$87,MATCH(Table1[[#This Row],[DRIVERS]]&amp;Table1[[#This Row],[DEMAND]],'OUTCOME MODEL'!$A$10:$A$87&amp;'OUTCOME MODEL'!$B$10:$B$87,0),MATCH(Table1[[#This Row],[CAPACITY]],'OUTCOME MODEL'!$O$9:$T$9))</f>
        <v>1.096295138143802</v>
      </c>
    </row>
    <row r="113" spans="1:7" x14ac:dyDescent="0.35">
      <c r="A113" s="45">
        <v>3</v>
      </c>
      <c r="B113" s="22">
        <v>5</v>
      </c>
      <c r="C113">
        <v>1.5</v>
      </c>
      <c r="D113" s="46">
        <f t="array" ref="D113">+INDEX('OUTCOME MODEL'!$U$10:$Z$87,MATCH(Table1[[#This Row],[DRIVERS]]&amp;Table1[[#This Row],[DEMAND]],'OUTCOME MODEL'!$A$10:$A$87&amp;'OUTCOME MODEL'!$B$10:$B$87,0),MATCH(Table1[[#This Row],[CAPACITY]],'OUTCOME MODEL'!$U$9:$Z$9))</f>
        <v>32.169844405240042</v>
      </c>
      <c r="E113" s="58">
        <f t="array" ref="E113">+INDEX('OUTCOME MODEL'!$C$10:$H$87,MATCH(Table1[[#This Row],[DRIVERS]]&amp;Table1[[#This Row],[DEMAND]],'OUTCOME MODEL'!$A$10:$A$87&amp;'OUTCOME MODEL'!$B$10:$B$87,0),MATCH(Table1[[#This Row],[CAPACITY]],'OUTCOME MODEL'!$C$9:$H$9))</f>
        <v>0.81701192140292167</v>
      </c>
      <c r="F113" s="58">
        <f t="array" ref="F113">+INDEX('OUTCOME MODEL'!$I$10:$N$87,MATCH(Table1[[#This Row],[DRIVERS]]&amp;Table1[[#This Row],[DEMAND]],'OUTCOME MODEL'!$A$10:$A$87&amp;'OUTCOME MODEL'!$B$10:$B$87,0),MATCH(Table1[[#This Row],[CAPACITY]],'OUTCOME MODEL'!$I$9:$N$9))</f>
        <v>0.65800000000000003</v>
      </c>
      <c r="G113" s="60">
        <f t="array" ref="G113">+INDEX('OUTCOME MODEL'!$O$10:$T$87,MATCH(Table1[[#This Row],[DRIVERS]]&amp;Table1[[#This Row],[DEMAND]],'OUTCOME MODEL'!$A$10:$A$87&amp;'OUTCOME MODEL'!$B$10:$B$87,0),MATCH(Table1[[#This Row],[CAPACITY]],'OUTCOME MODEL'!$O$9:$T$9))</f>
        <v>1.2255178821043824</v>
      </c>
    </row>
    <row r="114" spans="1:7" x14ac:dyDescent="0.35">
      <c r="A114" s="45">
        <v>3</v>
      </c>
      <c r="B114" s="22">
        <v>6</v>
      </c>
      <c r="C114">
        <v>1.5</v>
      </c>
      <c r="D114" s="46">
        <f t="array" ref="D114">+INDEX('OUTCOME MODEL'!$U$10:$Z$87,MATCH(Table1[[#This Row],[DRIVERS]]&amp;Table1[[#This Row],[DEMAND]],'OUTCOME MODEL'!$A$10:$A$87&amp;'OUTCOME MODEL'!$B$10:$B$87,0),MATCH(Table1[[#This Row],[CAPACITY]],'OUTCOME MODEL'!$U$9:$Z$9))</f>
        <v>34.426357099886815</v>
      </c>
      <c r="E114" s="58">
        <f t="array" ref="E114">+INDEX('OUTCOME MODEL'!$C$10:$H$87,MATCH(Table1[[#This Row],[DRIVERS]]&amp;Table1[[#This Row],[DEMAND]],'OUTCOME MODEL'!$A$10:$A$87&amp;'OUTCOME MODEL'!$B$10:$B$87,0),MATCH(Table1[[#This Row],[CAPACITY]],'OUTCOME MODEL'!$C$9:$H$9))</f>
        <v>0.8743201803145858</v>
      </c>
      <c r="F114" s="58">
        <f t="array" ref="F114">+INDEX('OUTCOME MODEL'!$I$10:$N$87,MATCH(Table1[[#This Row],[DRIVERS]]&amp;Table1[[#This Row],[DEMAND]],'OUTCOME MODEL'!$A$10:$A$87&amp;'OUTCOME MODEL'!$B$10:$B$87,0),MATCH(Table1[[#This Row],[CAPACITY]],'OUTCOME MODEL'!$I$9:$N$9))</f>
        <v>0.56899999999999995</v>
      </c>
      <c r="G114" s="60">
        <f t="array" ref="G114">+INDEX('OUTCOME MODEL'!$O$10:$T$87,MATCH(Table1[[#This Row],[DRIVERS]]&amp;Table1[[#This Row],[DEMAND]],'OUTCOME MODEL'!$A$10:$A$87&amp;'OUTCOME MODEL'!$B$10:$B$87,0),MATCH(Table1[[#This Row],[CAPACITY]],'OUTCOME MODEL'!$O$9:$T$9))</f>
        <v>1.3114802704718787</v>
      </c>
    </row>
    <row r="115" spans="1:7" x14ac:dyDescent="0.35">
      <c r="A115" s="45">
        <v>3</v>
      </c>
      <c r="B115" s="22">
        <v>7</v>
      </c>
      <c r="C115">
        <v>1.5</v>
      </c>
      <c r="D115" s="46">
        <f t="array" ref="D115">+INDEX('OUTCOME MODEL'!$U$10:$Z$87,MATCH(Table1[[#This Row],[DRIVERS]]&amp;Table1[[#This Row],[DEMAND]],'OUTCOME MODEL'!$A$10:$A$87&amp;'OUTCOME MODEL'!$B$10:$B$87,0),MATCH(Table1[[#This Row],[CAPACITY]],'OUTCOME MODEL'!$U$9:$Z$9))</f>
        <v>36.32225684889751</v>
      </c>
      <c r="E115" s="58">
        <f t="array" ref="E115">+INDEX('OUTCOME MODEL'!$C$10:$H$87,MATCH(Table1[[#This Row],[DRIVERS]]&amp;Table1[[#This Row],[DEMAND]],'OUTCOME MODEL'!$A$10:$A$87&amp;'OUTCOME MODEL'!$B$10:$B$87,0),MATCH(Table1[[#This Row],[CAPACITY]],'OUTCOME MODEL'!$C$9:$H$9))</f>
        <v>0.92247001521009542</v>
      </c>
      <c r="F115" s="58">
        <f t="array" ref="F115">+INDEX('OUTCOME MODEL'!$I$10:$N$87,MATCH(Table1[[#This Row],[DRIVERS]]&amp;Table1[[#This Row],[DEMAND]],'OUTCOME MODEL'!$A$10:$A$87&amp;'OUTCOME MODEL'!$B$10:$B$87,0),MATCH(Table1[[#This Row],[CAPACITY]],'OUTCOME MODEL'!$I$9:$N$9))</f>
        <v>0.53700000000000003</v>
      </c>
      <c r="G115" s="60">
        <f t="array" ref="G115">+INDEX('OUTCOME MODEL'!$O$10:$T$87,MATCH(Table1[[#This Row],[DRIVERS]]&amp;Table1[[#This Row],[DEMAND]],'OUTCOME MODEL'!$A$10:$A$87&amp;'OUTCOME MODEL'!$B$10:$B$87,0),MATCH(Table1[[#This Row],[CAPACITY]],'OUTCOME MODEL'!$O$9:$T$9))</f>
        <v>1.3837050228151431</v>
      </c>
    </row>
    <row r="116" spans="1:7" x14ac:dyDescent="0.35">
      <c r="A116" s="45">
        <v>3</v>
      </c>
      <c r="B116" s="22">
        <v>8</v>
      </c>
      <c r="C116">
        <v>1.5</v>
      </c>
      <c r="D116" s="46">
        <f t="array" ref="D116">+INDEX('OUTCOME MODEL'!$U$10:$Z$87,MATCH(Table1[[#This Row],[DRIVERS]]&amp;Table1[[#This Row],[DEMAND]],'OUTCOME MODEL'!$A$10:$A$87&amp;'OUTCOME MODEL'!$B$10:$B$87,0),MATCH(Table1[[#This Row],[CAPACITY]],'OUTCOME MODEL'!$U$9:$Z$9))</f>
        <v>37.398954351579889</v>
      </c>
      <c r="E116" s="58">
        <f t="array" ref="E116">+INDEX('OUTCOME MODEL'!$C$10:$H$87,MATCH(Table1[[#This Row],[DRIVERS]]&amp;Table1[[#This Row],[DEMAND]],'OUTCOME MODEL'!$A$10:$A$87&amp;'OUTCOME MODEL'!$B$10:$B$87,0),MATCH(Table1[[#This Row],[CAPACITY]],'OUTCOME MODEL'!$C$9:$H$9))</f>
        <v>0.94981471369091774</v>
      </c>
      <c r="F116" s="58">
        <f t="array" ref="F116">+INDEX('OUTCOME MODEL'!$I$10:$N$87,MATCH(Table1[[#This Row],[DRIVERS]]&amp;Table1[[#This Row],[DEMAND]],'OUTCOME MODEL'!$A$10:$A$87&amp;'OUTCOME MODEL'!$B$10:$B$87,0),MATCH(Table1[[#This Row],[CAPACITY]],'OUTCOME MODEL'!$I$9:$N$9))</f>
        <v>0.5</v>
      </c>
      <c r="G116" s="60">
        <f t="array" ref="G116">+INDEX('OUTCOME MODEL'!$O$10:$T$87,MATCH(Table1[[#This Row],[DRIVERS]]&amp;Table1[[#This Row],[DEMAND]],'OUTCOME MODEL'!$A$10:$A$87&amp;'OUTCOME MODEL'!$B$10:$B$87,0),MATCH(Table1[[#This Row],[CAPACITY]],'OUTCOME MODEL'!$O$9:$T$9))</f>
        <v>1.4247220705363766</v>
      </c>
    </row>
    <row r="117" spans="1:7" x14ac:dyDescent="0.35">
      <c r="A117" s="45">
        <v>3</v>
      </c>
      <c r="B117" s="22">
        <v>9</v>
      </c>
      <c r="C117">
        <v>1.5</v>
      </c>
      <c r="D117" s="46">
        <f t="array" ref="D117">+INDEX('OUTCOME MODEL'!$U$10:$Z$87,MATCH(Table1[[#This Row],[DRIVERS]]&amp;Table1[[#This Row],[DEMAND]],'OUTCOME MODEL'!$A$10:$A$87&amp;'OUTCOME MODEL'!$B$10:$B$87,0),MATCH(Table1[[#This Row],[CAPACITY]],'OUTCOME MODEL'!$U$9:$Z$9))</f>
        <v>38.317821032781538</v>
      </c>
      <c r="E117" s="58">
        <f t="array" ref="E117">+INDEX('OUTCOME MODEL'!$C$10:$H$87,MATCH(Table1[[#This Row],[DRIVERS]]&amp;Table1[[#This Row],[DEMAND]],'OUTCOME MODEL'!$A$10:$A$87&amp;'OUTCOME MODEL'!$B$10:$B$87,0),MATCH(Table1[[#This Row],[CAPACITY]],'OUTCOME MODEL'!$C$9:$H$9))</f>
        <v>0.97315101035635654</v>
      </c>
      <c r="F117" s="58">
        <f t="array" ref="F117">+INDEX('OUTCOME MODEL'!$I$10:$N$87,MATCH(Table1[[#This Row],[DRIVERS]]&amp;Table1[[#This Row],[DEMAND]],'OUTCOME MODEL'!$A$10:$A$87&amp;'OUTCOME MODEL'!$B$10:$B$87,0),MATCH(Table1[[#This Row],[CAPACITY]],'OUTCOME MODEL'!$I$9:$N$9))</f>
        <v>0.46700000000000003</v>
      </c>
      <c r="G117" s="60">
        <f t="array" ref="G117">+INDEX('OUTCOME MODEL'!$O$10:$T$87,MATCH(Table1[[#This Row],[DRIVERS]]&amp;Table1[[#This Row],[DEMAND]],'OUTCOME MODEL'!$A$10:$A$87&amp;'OUTCOME MODEL'!$B$10:$B$87,0),MATCH(Table1[[#This Row],[CAPACITY]],'OUTCOME MODEL'!$O$9:$T$9))</f>
        <v>1.4597265155345349</v>
      </c>
    </row>
    <row r="118" spans="1:7" x14ac:dyDescent="0.35">
      <c r="A118" s="45">
        <v>3</v>
      </c>
      <c r="B118" s="22">
        <v>10</v>
      </c>
      <c r="C118">
        <v>1.5</v>
      </c>
      <c r="D118" s="46">
        <f t="array" ref="D118">+INDEX('OUTCOME MODEL'!$U$10:$Z$87,MATCH(Table1[[#This Row],[DRIVERS]]&amp;Table1[[#This Row],[DEMAND]],'OUTCOME MODEL'!$A$10:$A$87&amp;'OUTCOME MODEL'!$B$10:$B$87,0),MATCH(Table1[[#This Row],[CAPACITY]],'OUTCOME MODEL'!$U$9:$Z$9))</f>
        <v>38.82113362358416</v>
      </c>
      <c r="E118" s="58">
        <f t="array" ref="E118">+INDEX('OUTCOME MODEL'!$C$10:$H$87,MATCH(Table1[[#This Row],[DRIVERS]]&amp;Table1[[#This Row],[DEMAND]],'OUTCOME MODEL'!$A$10:$A$87&amp;'OUTCOME MODEL'!$B$10:$B$87,0),MATCH(Table1[[#This Row],[CAPACITY]],'OUTCOME MODEL'!$C$9:$H$9))</f>
        <v>0.98593355234499458</v>
      </c>
      <c r="F118" s="58">
        <f t="array" ref="F118">+INDEX('OUTCOME MODEL'!$I$10:$N$87,MATCH(Table1[[#This Row],[DRIVERS]]&amp;Table1[[#This Row],[DEMAND]],'OUTCOME MODEL'!$A$10:$A$87&amp;'OUTCOME MODEL'!$B$10:$B$87,0),MATCH(Table1[[#This Row],[CAPACITY]],'OUTCOME MODEL'!$I$9:$N$9))</f>
        <v>0.41199999999999998</v>
      </c>
      <c r="G118" s="60">
        <f t="array" ref="G118">+INDEX('OUTCOME MODEL'!$O$10:$T$87,MATCH(Table1[[#This Row],[DRIVERS]]&amp;Table1[[#This Row],[DEMAND]],'OUTCOME MODEL'!$A$10:$A$87&amp;'OUTCOME MODEL'!$B$10:$B$87,0),MATCH(Table1[[#This Row],[CAPACITY]],'OUTCOME MODEL'!$O$9:$T$9))</f>
        <v>1.4789003285174918</v>
      </c>
    </row>
    <row r="119" spans="1:7" x14ac:dyDescent="0.35">
      <c r="A119" s="45">
        <v>3</v>
      </c>
      <c r="B119" s="22">
        <v>11</v>
      </c>
      <c r="C119">
        <v>1.5</v>
      </c>
      <c r="D119" s="46">
        <f t="array" ref="D119">+INDEX('OUTCOME MODEL'!$U$10:$Z$87,MATCH(Table1[[#This Row],[DRIVERS]]&amp;Table1[[#This Row],[DEMAND]],'OUTCOME MODEL'!$A$10:$A$87&amp;'OUTCOME MODEL'!$B$10:$B$87,0),MATCH(Table1[[#This Row],[CAPACITY]],'OUTCOME MODEL'!$U$9:$Z$9))</f>
        <v>39.337850200023439</v>
      </c>
      <c r="E119" s="58">
        <f t="array" ref="E119">+INDEX('OUTCOME MODEL'!$C$10:$H$87,MATCH(Table1[[#This Row],[DRIVERS]]&amp;Table1[[#This Row],[DEMAND]],'OUTCOME MODEL'!$A$10:$A$87&amp;'OUTCOME MODEL'!$B$10:$B$87,0),MATCH(Table1[[#This Row],[CAPACITY]],'OUTCOME MODEL'!$C$9:$H$9))</f>
        <v>0.99905651301646847</v>
      </c>
      <c r="F119" s="58">
        <f t="array" ref="F119">+INDEX('OUTCOME MODEL'!$I$10:$N$87,MATCH(Table1[[#This Row],[DRIVERS]]&amp;Table1[[#This Row],[DEMAND]],'OUTCOME MODEL'!$A$10:$A$87&amp;'OUTCOME MODEL'!$B$10:$B$87,0),MATCH(Table1[[#This Row],[CAPACITY]],'OUTCOME MODEL'!$I$9:$N$9))</f>
        <v>0.39300000000000002</v>
      </c>
      <c r="G119" s="60">
        <f t="array" ref="G119">+INDEX('OUTCOME MODEL'!$O$10:$T$87,MATCH(Table1[[#This Row],[DRIVERS]]&amp;Table1[[#This Row],[DEMAND]],'OUTCOME MODEL'!$A$10:$A$87&amp;'OUTCOME MODEL'!$B$10:$B$87,0),MATCH(Table1[[#This Row],[CAPACITY]],'OUTCOME MODEL'!$O$9:$T$9))</f>
        <v>1.4985847695247028</v>
      </c>
    </row>
    <row r="120" spans="1:7" x14ac:dyDescent="0.35">
      <c r="A120" s="45">
        <v>3</v>
      </c>
      <c r="B120" s="22">
        <v>12</v>
      </c>
      <c r="C120">
        <v>1.5</v>
      </c>
      <c r="D120" s="46">
        <f t="array" ref="D120">+INDEX('OUTCOME MODEL'!$U$10:$Z$87,MATCH(Table1[[#This Row],[DRIVERS]]&amp;Table1[[#This Row],[DEMAND]],'OUTCOME MODEL'!$A$10:$A$87&amp;'OUTCOME MODEL'!$B$10:$B$87,0),MATCH(Table1[[#This Row],[CAPACITY]],'OUTCOME MODEL'!$U$9:$Z$9))</f>
        <v>39.719366392317866</v>
      </c>
      <c r="E120" s="58">
        <f t="array" ref="E120">+INDEX('OUTCOME MODEL'!$C$10:$H$87,MATCH(Table1[[#This Row],[DRIVERS]]&amp;Table1[[#This Row],[DEMAND]],'OUTCOME MODEL'!$A$10:$A$87&amp;'OUTCOME MODEL'!$B$10:$B$87,0),MATCH(Table1[[#This Row],[CAPACITY]],'OUTCOME MODEL'!$C$9:$H$9))</f>
        <v>1.0087458131382314</v>
      </c>
      <c r="F120" s="58">
        <f t="array" ref="F120">+INDEX('OUTCOME MODEL'!$I$10:$N$87,MATCH(Table1[[#This Row],[DRIVERS]]&amp;Table1[[#This Row],[DEMAND]],'OUTCOME MODEL'!$A$10:$A$87&amp;'OUTCOME MODEL'!$B$10:$B$87,0),MATCH(Table1[[#This Row],[CAPACITY]],'OUTCOME MODEL'!$I$9:$N$9))</f>
        <v>0.34899999999999998</v>
      </c>
      <c r="G120" s="60">
        <f t="array" ref="G120">+INDEX('OUTCOME MODEL'!$O$10:$T$87,MATCH(Table1[[#This Row],[DRIVERS]]&amp;Table1[[#This Row],[DEMAND]],'OUTCOME MODEL'!$A$10:$A$87&amp;'OUTCOME MODEL'!$B$10:$B$87,0),MATCH(Table1[[#This Row],[CAPACITY]],'OUTCOME MODEL'!$O$9:$T$9))</f>
        <v>1.513118719707347</v>
      </c>
    </row>
    <row r="121" spans="1:7" x14ac:dyDescent="0.35">
      <c r="A121" s="48">
        <v>4</v>
      </c>
      <c r="B121" s="49">
        <v>0</v>
      </c>
      <c r="C121">
        <v>1.5</v>
      </c>
      <c r="D121" s="46">
        <f t="array" ref="D121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21" s="58">
        <f t="array" ref="E121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21" s="58">
        <f t="array" ref="F12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21" s="60">
        <f t="array" ref="G121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22" spans="1:7" x14ac:dyDescent="0.35">
      <c r="A122" s="45">
        <v>4</v>
      </c>
      <c r="B122" s="22">
        <v>1</v>
      </c>
      <c r="C122">
        <v>1.5</v>
      </c>
      <c r="D122" s="46">
        <f t="array" ref="D122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22" s="58">
        <f t="array" ref="E122">+INDEX('OUTCOME MODEL'!$C$10:$H$87,MATCH(Table1[[#This Row],[DRIVERS]]&amp;Table1[[#This Row],[DEMAND]],'OUTCOME MODEL'!$A$10:$A$87&amp;'OUTCOME MODEL'!$B$10:$B$87,0),MATCH(Table1[[#This Row],[CAPACITY]],'OUTCOME MODEL'!$C$9:$H$9))</f>
        <v>0.19060284787729584</v>
      </c>
      <c r="F122" s="58">
        <f t="array" ref="F122">+INDEX('OUTCOME MODEL'!$I$10:$N$87,MATCH(Table1[[#This Row],[DRIVERS]]&amp;Table1[[#This Row],[DEMAND]],'OUTCOME MODEL'!$A$10:$A$87&amp;'OUTCOME MODEL'!$B$10:$B$87,0),MATCH(Table1[[#This Row],[CAPACITY]],'OUTCOME MODEL'!$I$9:$N$9))</f>
        <v>0.89100000000000001</v>
      </c>
      <c r="G122" s="60">
        <f t="array" ref="G122">+INDEX('OUTCOME MODEL'!$O$10:$T$87,MATCH(Table1[[#This Row],[DRIVERS]]&amp;Table1[[#This Row],[DEMAND]],'OUTCOME MODEL'!$A$10:$A$87&amp;'OUTCOME MODEL'!$B$10:$B$87,0),MATCH(Table1[[#This Row],[CAPACITY]],'OUTCOME MODEL'!$O$9:$T$9))</f>
        <v>0.25</v>
      </c>
    </row>
    <row r="123" spans="1:7" x14ac:dyDescent="0.35">
      <c r="A123" s="19">
        <v>4</v>
      </c>
      <c r="B123" s="20">
        <v>2</v>
      </c>
      <c r="C123">
        <v>1.5</v>
      </c>
      <c r="D123" s="46">
        <f t="array" ref="D123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23" s="58">
        <f t="array" ref="E123">+INDEX('OUTCOME MODEL'!$C$10:$H$87,MATCH(Table1[[#This Row],[DRIVERS]]&amp;Table1[[#This Row],[DEMAND]],'OUTCOME MODEL'!$A$10:$A$87&amp;'OUTCOME MODEL'!$B$10:$B$87,0),MATCH(Table1[[#This Row],[CAPACITY]],'OUTCOME MODEL'!$C$9:$H$9))</f>
        <v>0.36512299086351108</v>
      </c>
      <c r="F123" s="58">
        <f t="array" ref="F123">+INDEX('OUTCOME MODEL'!$I$10:$N$87,MATCH(Table1[[#This Row],[DRIVERS]]&amp;Table1[[#This Row],[DEMAND]],'OUTCOME MODEL'!$A$10:$A$87&amp;'OUTCOME MODEL'!$B$10:$B$87,0),MATCH(Table1[[#This Row],[CAPACITY]],'OUTCOME MODEL'!$I$9:$N$9))</f>
        <v>0.88600000000000001</v>
      </c>
      <c r="G123" s="60">
        <f t="array" ref="G123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124" spans="1:7" x14ac:dyDescent="0.35">
      <c r="A124" s="45">
        <v>4</v>
      </c>
      <c r="B124" s="22">
        <v>3</v>
      </c>
      <c r="C124">
        <v>1.5</v>
      </c>
      <c r="D124" s="46">
        <f t="array" ref="D124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124" s="58">
        <f t="array" ref="E124">+INDEX('OUTCOME MODEL'!$C$10:$H$87,MATCH(Table1[[#This Row],[DRIVERS]]&amp;Table1[[#This Row],[DEMAND]],'OUTCOME MODEL'!$A$10:$A$87&amp;'OUTCOME MODEL'!$B$10:$B$87,0),MATCH(Table1[[#This Row],[CAPACITY]],'OUTCOME MODEL'!$C$9:$H$9))</f>
        <v>0.50603468006978358</v>
      </c>
      <c r="F124" s="58">
        <f t="array" ref="F124">+INDEX('OUTCOME MODEL'!$I$10:$N$87,MATCH(Table1[[#This Row],[DRIVERS]]&amp;Table1[[#This Row],[DEMAND]],'OUTCOME MODEL'!$A$10:$A$87&amp;'OUTCOME MODEL'!$B$10:$B$87,0),MATCH(Table1[[#This Row],[CAPACITY]],'OUTCOME MODEL'!$I$9:$N$9))</f>
        <v>0.83899999999999997</v>
      </c>
      <c r="G124" s="60">
        <f t="array" ref="G124">+INDEX('OUTCOME MODEL'!$O$10:$T$87,MATCH(Table1[[#This Row],[DRIVERS]]&amp;Table1[[#This Row],[DEMAND]],'OUTCOME MODEL'!$A$10:$A$87&amp;'OUTCOME MODEL'!$B$10:$B$87,0),MATCH(Table1[[#This Row],[CAPACITY]],'OUTCOME MODEL'!$O$9:$T$9))</f>
        <v>0.75</v>
      </c>
    </row>
    <row r="125" spans="1:7" x14ac:dyDescent="0.35">
      <c r="A125" s="45">
        <v>4</v>
      </c>
      <c r="B125" s="22">
        <v>4</v>
      </c>
      <c r="C125">
        <v>1.5</v>
      </c>
      <c r="D125" s="46">
        <f t="array" ref="D125">+INDEX('OUTCOME MODEL'!$U$10:$Z$87,MATCH(Table1[[#This Row],[DRIVERS]]&amp;Table1[[#This Row],[DEMAND]],'OUTCOME MODEL'!$A$10:$A$87&amp;'OUTCOME MODEL'!$B$10:$B$87,0),MATCH(Table1[[#This Row],[CAPACITY]],'OUTCOME MODEL'!$U$9:$Z$9))</f>
        <v>33.274590696726527</v>
      </c>
      <c r="E125" s="58">
        <f t="array" ref="E125">+INDEX('OUTCOME MODEL'!$C$10:$H$87,MATCH(Table1[[#This Row],[DRIVERS]]&amp;Table1[[#This Row],[DEMAND]],'OUTCOME MODEL'!$A$10:$A$87&amp;'OUTCOME MODEL'!$B$10:$B$87,0),MATCH(Table1[[#This Row],[CAPACITY]],'OUTCOME MODEL'!$C$9:$H$9))</f>
        <v>0.63380172755669573</v>
      </c>
      <c r="F125" s="58">
        <f t="array" ref="F125">+INDEX('OUTCOME MODEL'!$I$10:$N$87,MATCH(Table1[[#This Row],[DRIVERS]]&amp;Table1[[#This Row],[DEMAND]],'OUTCOME MODEL'!$A$10:$A$87&amp;'OUTCOME MODEL'!$B$10:$B$87,0),MATCH(Table1[[#This Row],[CAPACITY]],'OUTCOME MODEL'!$I$9:$N$9))</f>
        <v>0.82199999999999995</v>
      </c>
      <c r="G125" s="60">
        <f t="array" ref="G125">+INDEX('OUTCOME MODEL'!$O$10:$T$87,MATCH(Table1[[#This Row],[DRIVERS]]&amp;Table1[[#This Row],[DEMAND]],'OUTCOME MODEL'!$A$10:$A$87&amp;'OUTCOME MODEL'!$B$10:$B$87,0),MATCH(Table1[[#This Row],[CAPACITY]],'OUTCOME MODEL'!$O$9:$T$9))</f>
        <v>0.95070259133504353</v>
      </c>
    </row>
    <row r="126" spans="1:7" x14ac:dyDescent="0.35">
      <c r="A126" s="45">
        <v>4</v>
      </c>
      <c r="B126" s="22">
        <v>5</v>
      </c>
      <c r="C126">
        <v>1.5</v>
      </c>
      <c r="D126" s="46">
        <f t="array" ref="D126">+INDEX('OUTCOME MODEL'!$U$10:$Z$87,MATCH(Table1[[#This Row],[DRIVERS]]&amp;Table1[[#This Row],[DEMAND]],'OUTCOME MODEL'!$A$10:$A$87&amp;'OUTCOME MODEL'!$B$10:$B$87,0),MATCH(Table1[[#This Row],[CAPACITY]],'OUTCOME MODEL'!$U$9:$Z$9))</f>
        <v>37.767473174178249</v>
      </c>
      <c r="E126" s="58">
        <f t="array" ref="E126">+INDEX('OUTCOME MODEL'!$C$10:$H$87,MATCH(Table1[[#This Row],[DRIVERS]]&amp;Table1[[#This Row],[DEMAND]],'OUTCOME MODEL'!$A$10:$A$87&amp;'OUTCOME MODEL'!$B$10:$B$87,0),MATCH(Table1[[#This Row],[CAPACITY]],'OUTCOME MODEL'!$C$9:$H$9))</f>
        <v>0.71938044141291912</v>
      </c>
      <c r="F126" s="58">
        <f t="array" ref="F126">+INDEX('OUTCOME MODEL'!$I$10:$N$87,MATCH(Table1[[#This Row],[DRIVERS]]&amp;Table1[[#This Row],[DEMAND]],'OUTCOME MODEL'!$A$10:$A$87&amp;'OUTCOME MODEL'!$B$10:$B$87,0),MATCH(Table1[[#This Row],[CAPACITY]],'OUTCOME MODEL'!$I$9:$N$9))</f>
        <v>0.76100000000000001</v>
      </c>
      <c r="G126" s="60">
        <f t="array" ref="G126">+INDEX('OUTCOME MODEL'!$O$10:$T$87,MATCH(Table1[[#This Row],[DRIVERS]]&amp;Table1[[#This Row],[DEMAND]],'OUTCOME MODEL'!$A$10:$A$87&amp;'OUTCOME MODEL'!$B$10:$B$87,0),MATCH(Table1[[#This Row],[CAPACITY]],'OUTCOME MODEL'!$O$9:$T$9))</f>
        <v>1.0790706621193786</v>
      </c>
    </row>
    <row r="127" spans="1:7" x14ac:dyDescent="0.35">
      <c r="A127" s="45">
        <v>4</v>
      </c>
      <c r="B127" s="22">
        <v>6</v>
      </c>
      <c r="C127">
        <v>1.5</v>
      </c>
      <c r="D127" s="46">
        <f t="array" ref="D127">+INDEX('OUTCOME MODEL'!$U$10:$Z$87,MATCH(Table1[[#This Row],[DRIVERS]]&amp;Table1[[#This Row],[DEMAND]],'OUTCOME MODEL'!$A$10:$A$87&amp;'OUTCOME MODEL'!$B$10:$B$87,0),MATCH(Table1[[#This Row],[CAPACITY]],'OUTCOME MODEL'!$U$9:$Z$9))</f>
        <v>41.35299744591746</v>
      </c>
      <c r="E127" s="58">
        <f t="array" ref="E127">+INDEX('OUTCOME MODEL'!$C$10:$H$87,MATCH(Table1[[#This Row],[DRIVERS]]&amp;Table1[[#This Row],[DEMAND]],'OUTCOME MODEL'!$A$10:$A$87&amp;'OUTCOME MODEL'!$B$10:$B$87,0),MATCH(Table1[[#This Row],[CAPACITY]],'OUTCOME MODEL'!$C$9:$H$9))</f>
        <v>0.78767614182699919</v>
      </c>
      <c r="F127" s="58">
        <f t="array" ref="F127">+INDEX('OUTCOME MODEL'!$I$10:$N$87,MATCH(Table1[[#This Row],[DRIVERS]]&amp;Table1[[#This Row],[DEMAND]],'OUTCOME MODEL'!$A$10:$A$87&amp;'OUTCOME MODEL'!$B$10:$B$87,0),MATCH(Table1[[#This Row],[CAPACITY]],'OUTCOME MODEL'!$I$9:$N$9))</f>
        <v>0.70299999999999996</v>
      </c>
      <c r="G127" s="60">
        <f t="array" ref="G127">+INDEX('OUTCOME MODEL'!$O$10:$T$87,MATCH(Table1[[#This Row],[DRIVERS]]&amp;Table1[[#This Row],[DEMAND]],'OUTCOME MODEL'!$A$10:$A$87&amp;'OUTCOME MODEL'!$B$10:$B$87,0),MATCH(Table1[[#This Row],[CAPACITY]],'OUTCOME MODEL'!$O$9:$T$9))</f>
        <v>1.1815142127404987</v>
      </c>
    </row>
    <row r="128" spans="1:7" x14ac:dyDescent="0.35">
      <c r="A128" s="45">
        <v>4</v>
      </c>
      <c r="B128" s="22">
        <v>7</v>
      </c>
      <c r="C128">
        <v>1.5</v>
      </c>
      <c r="D128" s="46">
        <f t="array" ref="D128">+INDEX('OUTCOME MODEL'!$U$10:$Z$87,MATCH(Table1[[#This Row],[DRIVERS]]&amp;Table1[[#This Row],[DEMAND]],'OUTCOME MODEL'!$A$10:$A$87&amp;'OUTCOME MODEL'!$B$10:$B$87,0),MATCH(Table1[[#This Row],[CAPACITY]],'OUTCOME MODEL'!$U$9:$Z$9))</f>
        <v>44.33424173598862</v>
      </c>
      <c r="E128" s="58">
        <f t="array" ref="E128">+INDEX('OUTCOME MODEL'!$C$10:$H$87,MATCH(Table1[[#This Row],[DRIVERS]]&amp;Table1[[#This Row],[DEMAND]],'OUTCOME MODEL'!$A$10:$A$87&amp;'OUTCOME MODEL'!$B$10:$B$87,0),MATCH(Table1[[#This Row],[CAPACITY]],'OUTCOME MODEL'!$C$9:$H$9))</f>
        <v>0.84446174735216417</v>
      </c>
      <c r="F128" s="58">
        <f t="array" ref="F128">+INDEX('OUTCOME MODEL'!$I$10:$N$87,MATCH(Table1[[#This Row],[DRIVERS]]&amp;Table1[[#This Row],[DEMAND]],'OUTCOME MODEL'!$A$10:$A$87&amp;'OUTCOME MODEL'!$B$10:$B$87,0),MATCH(Table1[[#This Row],[CAPACITY]],'OUTCOME MODEL'!$I$9:$N$9))</f>
        <v>0.67600000000000005</v>
      </c>
      <c r="G128" s="60">
        <f t="array" ref="G128">+INDEX('OUTCOME MODEL'!$O$10:$T$87,MATCH(Table1[[#This Row],[DRIVERS]]&amp;Table1[[#This Row],[DEMAND]],'OUTCOME MODEL'!$A$10:$A$87&amp;'OUTCOME MODEL'!$B$10:$B$87,0),MATCH(Table1[[#This Row],[CAPACITY]],'OUTCOME MODEL'!$O$9:$T$9))</f>
        <v>1.2666926210282463</v>
      </c>
    </row>
    <row r="129" spans="1:7" x14ac:dyDescent="0.35">
      <c r="A129" s="45">
        <v>4</v>
      </c>
      <c r="B129" s="22">
        <v>8</v>
      </c>
      <c r="C129">
        <v>1.5</v>
      </c>
      <c r="D129" s="46">
        <f t="array" ref="D129">+INDEX('OUTCOME MODEL'!$U$10:$Z$87,MATCH(Table1[[#This Row],[DRIVERS]]&amp;Table1[[#This Row],[DEMAND]],'OUTCOME MODEL'!$A$10:$A$87&amp;'OUTCOME MODEL'!$B$10:$B$87,0),MATCH(Table1[[#This Row],[CAPACITY]],'OUTCOME MODEL'!$U$9:$Z$9))</f>
        <v>45.958621497579173</v>
      </c>
      <c r="E129" s="58">
        <f t="array" ref="E129">+INDEX('OUTCOME MODEL'!$C$10:$H$87,MATCH(Table1[[#This Row],[DRIVERS]]&amp;Table1[[#This Row],[DEMAND]],'OUTCOME MODEL'!$A$10:$A$87&amp;'OUTCOME MODEL'!$B$10:$B$87,0),MATCH(Table1[[#This Row],[CAPACITY]],'OUTCOME MODEL'!$C$9:$H$9))</f>
        <v>0.87540231423960313</v>
      </c>
      <c r="F129" s="58">
        <f t="array" ref="F129">+INDEX('OUTCOME MODEL'!$I$10:$N$87,MATCH(Table1[[#This Row],[DRIVERS]]&amp;Table1[[#This Row],[DEMAND]],'OUTCOME MODEL'!$A$10:$A$87&amp;'OUTCOME MODEL'!$B$10:$B$87,0),MATCH(Table1[[#This Row],[CAPACITY]],'OUTCOME MODEL'!$I$9:$N$9))</f>
        <v>0.60399999999999998</v>
      </c>
      <c r="G129" s="60">
        <f t="array" ref="G129">+INDEX('OUTCOME MODEL'!$O$10:$T$87,MATCH(Table1[[#This Row],[DRIVERS]]&amp;Table1[[#This Row],[DEMAND]],'OUTCOME MODEL'!$A$10:$A$87&amp;'OUTCOME MODEL'!$B$10:$B$87,0),MATCH(Table1[[#This Row],[CAPACITY]],'OUTCOME MODEL'!$O$9:$T$9))</f>
        <v>1.3131034713594048</v>
      </c>
    </row>
    <row r="130" spans="1:7" x14ac:dyDescent="0.35">
      <c r="A130" s="45">
        <v>4</v>
      </c>
      <c r="B130" s="22">
        <v>9</v>
      </c>
      <c r="C130">
        <v>1.5</v>
      </c>
      <c r="D130" s="46">
        <f t="array" ref="D130">+INDEX('OUTCOME MODEL'!$U$10:$Z$87,MATCH(Table1[[#This Row],[DRIVERS]]&amp;Table1[[#This Row],[DEMAND]],'OUTCOME MODEL'!$A$10:$A$87&amp;'OUTCOME MODEL'!$B$10:$B$87,0),MATCH(Table1[[#This Row],[CAPACITY]],'OUTCOME MODEL'!$U$9:$Z$9))</f>
        <v>47.781548397402908</v>
      </c>
      <c r="E130" s="58">
        <f t="array" ref="E130">+INDEX('OUTCOME MODEL'!$C$10:$H$87,MATCH(Table1[[#This Row],[DRIVERS]]&amp;Table1[[#This Row],[DEMAND]],'OUTCOME MODEL'!$A$10:$A$87&amp;'OUTCOME MODEL'!$B$10:$B$87,0),MATCH(Table1[[#This Row],[CAPACITY]],'OUTCOME MODEL'!$C$9:$H$9))</f>
        <v>0.91012473137910288</v>
      </c>
      <c r="F130" s="58">
        <f t="array" ref="F130">+INDEX('OUTCOME MODEL'!$I$10:$N$87,MATCH(Table1[[#This Row],[DRIVERS]]&amp;Table1[[#This Row],[DEMAND]],'OUTCOME MODEL'!$A$10:$A$87&amp;'OUTCOME MODEL'!$B$10:$B$87,0),MATCH(Table1[[#This Row],[CAPACITY]],'OUTCOME MODEL'!$I$9:$N$9))</f>
        <v>0.61499999999999999</v>
      </c>
      <c r="G130" s="60">
        <f t="array" ref="G130">+INDEX('OUTCOME MODEL'!$O$10:$T$87,MATCH(Table1[[#This Row],[DRIVERS]]&amp;Table1[[#This Row],[DEMAND]],'OUTCOME MODEL'!$A$10:$A$87&amp;'OUTCOME MODEL'!$B$10:$B$87,0),MATCH(Table1[[#This Row],[CAPACITY]],'OUTCOME MODEL'!$O$9:$T$9))</f>
        <v>1.3651870970686544</v>
      </c>
    </row>
    <row r="131" spans="1:7" x14ac:dyDescent="0.35">
      <c r="A131" s="45">
        <v>4</v>
      </c>
      <c r="B131" s="22">
        <v>10</v>
      </c>
      <c r="C131">
        <v>1.5</v>
      </c>
      <c r="D131" s="46">
        <f t="array" ref="D131">+INDEX('OUTCOME MODEL'!$U$10:$Z$87,MATCH(Table1[[#This Row],[DRIVERS]]&amp;Table1[[#This Row],[DEMAND]],'OUTCOME MODEL'!$A$10:$A$87&amp;'OUTCOME MODEL'!$B$10:$B$87,0),MATCH(Table1[[#This Row],[CAPACITY]],'OUTCOME MODEL'!$U$9:$Z$9))</f>
        <v>48.784011871896027</v>
      </c>
      <c r="E131" s="58">
        <f t="array" ref="E131">+INDEX('OUTCOME MODEL'!$C$10:$H$87,MATCH(Table1[[#This Row],[DRIVERS]]&amp;Table1[[#This Row],[DEMAND]],'OUTCOME MODEL'!$A$10:$A$87&amp;'OUTCOME MODEL'!$B$10:$B$87,0),MATCH(Table1[[#This Row],[CAPACITY]],'OUTCOME MODEL'!$C$9:$H$9))</f>
        <v>0.92921927375040059</v>
      </c>
      <c r="F131" s="58">
        <f t="array" ref="F131">+INDEX('OUTCOME MODEL'!$I$10:$N$87,MATCH(Table1[[#This Row],[DRIVERS]]&amp;Table1[[#This Row],[DEMAND]],'OUTCOME MODEL'!$A$10:$A$87&amp;'OUTCOME MODEL'!$B$10:$B$87,0),MATCH(Table1[[#This Row],[CAPACITY]],'OUTCOME MODEL'!$I$9:$N$9))</f>
        <v>0.504</v>
      </c>
      <c r="G131" s="60">
        <f t="array" ref="G131">+INDEX('OUTCOME MODEL'!$O$10:$T$87,MATCH(Table1[[#This Row],[DRIVERS]]&amp;Table1[[#This Row],[DEMAND]],'OUTCOME MODEL'!$A$10:$A$87&amp;'OUTCOME MODEL'!$B$10:$B$87,0),MATCH(Table1[[#This Row],[CAPACITY]],'OUTCOME MODEL'!$O$9:$T$9))</f>
        <v>1.3938289106256008</v>
      </c>
    </row>
    <row r="132" spans="1:7" x14ac:dyDescent="0.35">
      <c r="A132" s="45">
        <v>4</v>
      </c>
      <c r="B132" s="22">
        <v>11</v>
      </c>
      <c r="C132">
        <v>1.5</v>
      </c>
      <c r="D132" s="46">
        <f t="array" ref="D132">+INDEX('OUTCOME MODEL'!$U$10:$Z$87,MATCH(Table1[[#This Row],[DRIVERS]]&amp;Table1[[#This Row],[DEMAND]],'OUTCOME MODEL'!$A$10:$A$87&amp;'OUTCOME MODEL'!$B$10:$B$87,0),MATCH(Table1[[#This Row],[CAPACITY]],'OUTCOME MODEL'!$U$9:$Z$9))</f>
        <v>49.508291101588533</v>
      </c>
      <c r="E132" s="58">
        <f t="array" ref="E132">+INDEX('OUTCOME MODEL'!$C$10:$H$87,MATCH(Table1[[#This Row],[DRIVERS]]&amp;Table1[[#This Row],[DEMAND]],'OUTCOME MODEL'!$A$10:$A$87&amp;'OUTCOME MODEL'!$B$10:$B$87,0),MATCH(Table1[[#This Row],[CAPACITY]],'OUTCOME MODEL'!$C$9:$H$9))</f>
        <v>0.94301506860168616</v>
      </c>
      <c r="F132" s="58">
        <f t="array" ref="F132">+INDEX('OUTCOME MODEL'!$I$10:$N$87,MATCH(Table1[[#This Row],[DRIVERS]]&amp;Table1[[#This Row],[DEMAND]],'OUTCOME MODEL'!$A$10:$A$87&amp;'OUTCOME MODEL'!$B$10:$B$87,0),MATCH(Table1[[#This Row],[CAPACITY]],'OUTCOME MODEL'!$I$9:$N$9))</f>
        <v>0.52300000000000002</v>
      </c>
      <c r="G132" s="60">
        <f t="array" ref="G132">+INDEX('OUTCOME MODEL'!$O$10:$T$87,MATCH(Table1[[#This Row],[DRIVERS]]&amp;Table1[[#This Row],[DEMAND]],'OUTCOME MODEL'!$A$10:$A$87&amp;'OUTCOME MODEL'!$B$10:$B$87,0),MATCH(Table1[[#This Row],[CAPACITY]],'OUTCOME MODEL'!$O$9:$T$9))</f>
        <v>1.4145226029025293</v>
      </c>
    </row>
    <row r="133" spans="1:7" x14ac:dyDescent="0.35">
      <c r="A133" s="45">
        <v>4</v>
      </c>
      <c r="B133" s="22">
        <v>12</v>
      </c>
      <c r="C133">
        <v>1.5</v>
      </c>
      <c r="D133" s="46">
        <f t="array" ref="D133">+INDEX('OUTCOME MODEL'!$U$10:$Z$87,MATCH(Table1[[#This Row],[DRIVERS]]&amp;Table1[[#This Row],[DEMAND]],'OUTCOME MODEL'!$A$10:$A$87&amp;'OUTCOME MODEL'!$B$10:$B$87,0),MATCH(Table1[[#This Row],[CAPACITY]],'OUTCOME MODEL'!$U$9:$Z$9))</f>
        <v>49.813049650084167</v>
      </c>
      <c r="E133" s="58">
        <f t="array" ref="E133">+INDEX('OUTCOME MODEL'!$C$10:$H$87,MATCH(Table1[[#This Row],[DRIVERS]]&amp;Table1[[#This Row],[DEMAND]],'OUTCOME MODEL'!$A$10:$A$87&amp;'OUTCOME MODEL'!$B$10:$B$87,0),MATCH(Table1[[#This Row],[CAPACITY]],'OUTCOME MODEL'!$C$9:$H$9))</f>
        <v>0.94881999333493661</v>
      </c>
      <c r="F133" s="58">
        <f t="array" ref="F133">+INDEX('OUTCOME MODEL'!$I$10:$N$87,MATCH(Table1[[#This Row],[DRIVERS]]&amp;Table1[[#This Row],[DEMAND]],'OUTCOME MODEL'!$A$10:$A$87&amp;'OUTCOME MODEL'!$B$10:$B$87,0),MATCH(Table1[[#This Row],[CAPACITY]],'OUTCOME MODEL'!$I$9:$N$9))</f>
        <v>0.49099999999999999</v>
      </c>
      <c r="G133" s="60">
        <f t="array" ref="G133">+INDEX('OUTCOME MODEL'!$O$10:$T$87,MATCH(Table1[[#This Row],[DRIVERS]]&amp;Table1[[#This Row],[DEMAND]],'OUTCOME MODEL'!$A$10:$A$87&amp;'OUTCOME MODEL'!$B$10:$B$87,0),MATCH(Table1[[#This Row],[CAPACITY]],'OUTCOME MODEL'!$O$9:$T$9))</f>
        <v>1.423229990002405</v>
      </c>
    </row>
    <row r="134" spans="1:7" x14ac:dyDescent="0.35">
      <c r="A134" s="48">
        <v>5</v>
      </c>
      <c r="B134" s="49">
        <v>0</v>
      </c>
      <c r="C134">
        <v>1.5</v>
      </c>
      <c r="D134" s="46">
        <f t="array" ref="D134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34" s="58">
        <f t="array" ref="E134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34" s="58">
        <f t="array" ref="F13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34" s="60">
        <f t="array" ref="G134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35" spans="1:7" x14ac:dyDescent="0.35">
      <c r="A135" s="19">
        <v>5</v>
      </c>
      <c r="B135" s="20">
        <v>1</v>
      </c>
      <c r="C135">
        <v>1.5</v>
      </c>
      <c r="D135" s="46">
        <f t="array" ref="D135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35" s="58">
        <f t="array" ref="E135">+INDEX('OUTCOME MODEL'!$C$10:$H$87,MATCH(Table1[[#This Row],[DRIVERS]]&amp;Table1[[#This Row],[DEMAND]],'OUTCOME MODEL'!$A$10:$A$87&amp;'OUTCOME MODEL'!$B$10:$B$87,0),MATCH(Table1[[#This Row],[CAPACITY]],'OUTCOME MODEL'!$C$9:$H$9))</f>
        <v>0.15200619074211336</v>
      </c>
      <c r="F135" s="58">
        <f t="array" ref="F135">+INDEX('OUTCOME MODEL'!$I$10:$N$87,MATCH(Table1[[#This Row],[DRIVERS]]&amp;Table1[[#This Row],[DEMAND]],'OUTCOME MODEL'!$A$10:$A$87&amp;'OUTCOME MODEL'!$B$10:$B$87,0),MATCH(Table1[[#This Row],[CAPACITY]],'OUTCOME MODEL'!$I$9:$N$9))</f>
        <v>0.9</v>
      </c>
      <c r="G135" s="60">
        <f t="array" ref="G135">+INDEX('OUTCOME MODEL'!$O$10:$T$87,MATCH(Table1[[#This Row],[DRIVERS]]&amp;Table1[[#This Row],[DEMAND]],'OUTCOME MODEL'!$A$10:$A$87&amp;'OUTCOME MODEL'!$B$10:$B$87,0),MATCH(Table1[[#This Row],[CAPACITY]],'OUTCOME MODEL'!$O$9:$T$9))</f>
        <v>0.2</v>
      </c>
    </row>
    <row r="136" spans="1:7" x14ac:dyDescent="0.35">
      <c r="A136" s="45">
        <v>5</v>
      </c>
      <c r="B136" s="22">
        <v>2</v>
      </c>
      <c r="C136">
        <v>1.5</v>
      </c>
      <c r="D136" s="46">
        <f t="array" ref="D136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36" s="58">
        <f t="array" ref="E136">+INDEX('OUTCOME MODEL'!$C$10:$H$87,MATCH(Table1[[#This Row],[DRIVERS]]&amp;Table1[[#This Row],[DEMAND]],'OUTCOME MODEL'!$A$10:$A$87&amp;'OUTCOME MODEL'!$B$10:$B$87,0),MATCH(Table1[[#This Row],[CAPACITY]],'OUTCOME MODEL'!$C$9:$H$9))</f>
        <v>0.29099982660440943</v>
      </c>
      <c r="F136" s="58">
        <f t="array" ref="F136">+INDEX('OUTCOME MODEL'!$I$10:$N$87,MATCH(Table1[[#This Row],[DRIVERS]]&amp;Table1[[#This Row],[DEMAND]],'OUTCOME MODEL'!$A$10:$A$87&amp;'OUTCOME MODEL'!$B$10:$B$87,0),MATCH(Table1[[#This Row],[CAPACITY]],'OUTCOME MODEL'!$I$9:$N$9))</f>
        <v>0.89</v>
      </c>
      <c r="G136" s="60">
        <f t="array" ref="G136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137" spans="1:7" x14ac:dyDescent="0.35">
      <c r="A137" s="45">
        <v>5</v>
      </c>
      <c r="B137" s="22">
        <v>3</v>
      </c>
      <c r="C137">
        <v>1.5</v>
      </c>
      <c r="D137" s="46">
        <f t="array" ref="D137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137" s="58">
        <f t="array" ref="E137">+INDEX('OUTCOME MODEL'!$C$10:$H$87,MATCH(Table1[[#This Row],[DRIVERS]]&amp;Table1[[#This Row],[DEMAND]],'OUTCOME MODEL'!$A$10:$A$87&amp;'OUTCOME MODEL'!$B$10:$B$87,0),MATCH(Table1[[#This Row],[CAPACITY]],'OUTCOME MODEL'!$C$9:$H$9))</f>
        <v>0.42585431716835914</v>
      </c>
      <c r="F137" s="58">
        <f t="array" ref="F137">+INDEX('OUTCOME MODEL'!$I$10:$N$87,MATCH(Table1[[#This Row],[DRIVERS]]&amp;Table1[[#This Row],[DEMAND]],'OUTCOME MODEL'!$A$10:$A$87&amp;'OUTCOME MODEL'!$B$10:$B$87,0),MATCH(Table1[[#This Row],[CAPACITY]],'OUTCOME MODEL'!$I$9:$N$9))</f>
        <v>0.88400000000000001</v>
      </c>
      <c r="G137" s="60">
        <f t="array" ref="G137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138" spans="1:7" x14ac:dyDescent="0.35">
      <c r="A138" s="45">
        <v>5</v>
      </c>
      <c r="B138" s="22">
        <v>4</v>
      </c>
      <c r="C138">
        <v>1.5</v>
      </c>
      <c r="D138" s="46">
        <f t="array" ref="D138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138" s="58">
        <f t="array" ref="E138">+INDEX('OUTCOME MODEL'!$C$10:$H$87,MATCH(Table1[[#This Row],[DRIVERS]]&amp;Table1[[#This Row],[DEMAND]],'OUTCOME MODEL'!$A$10:$A$87&amp;'OUTCOME MODEL'!$B$10:$B$87,0),MATCH(Table1[[#This Row],[CAPACITY]],'OUTCOME MODEL'!$C$9:$H$9))</f>
        <v>0.53701710069000974</v>
      </c>
      <c r="F138" s="58">
        <f t="array" ref="F138">+INDEX('OUTCOME MODEL'!$I$10:$N$87,MATCH(Table1[[#This Row],[DRIVERS]]&amp;Table1[[#This Row],[DEMAND]],'OUTCOME MODEL'!$A$10:$A$87&amp;'OUTCOME MODEL'!$B$10:$B$87,0),MATCH(Table1[[#This Row],[CAPACITY]],'OUTCOME MODEL'!$I$9:$N$9))</f>
        <v>0.85199999999999998</v>
      </c>
      <c r="G138" s="60">
        <f t="array" ref="G138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139" spans="1:7" x14ac:dyDescent="0.35">
      <c r="A139" s="45">
        <v>5</v>
      </c>
      <c r="B139" s="22">
        <v>5</v>
      </c>
      <c r="C139">
        <v>1.5</v>
      </c>
      <c r="D139" s="46">
        <f t="array" ref="D139">+INDEX('OUTCOME MODEL'!$U$10:$Z$87,MATCH(Table1[[#This Row],[DRIVERS]]&amp;Table1[[#This Row],[DEMAND]],'OUTCOME MODEL'!$A$10:$A$87&amp;'OUTCOME MODEL'!$B$10:$B$87,0),MATCH(Table1[[#This Row],[CAPACITY]],'OUTCOME MODEL'!$U$9:$Z$9))</f>
        <v>41.147764124131939</v>
      </c>
      <c r="E139" s="58">
        <f t="array" ref="E139">+INDEX('OUTCOME MODEL'!$C$10:$H$87,MATCH(Table1[[#This Row],[DRIVERS]]&amp;Table1[[#This Row],[DEMAND]],'OUTCOME MODEL'!$A$10:$A$87&amp;'OUTCOME MODEL'!$B$10:$B$87,0),MATCH(Table1[[#This Row],[CAPACITY]],'OUTCOME MODEL'!$C$9:$H$9))</f>
        <v>0.62701354855820102</v>
      </c>
      <c r="F139" s="58">
        <f t="array" ref="F139">+INDEX('OUTCOME MODEL'!$I$10:$N$87,MATCH(Table1[[#This Row],[DRIVERS]]&amp;Table1[[#This Row],[DEMAND]],'OUTCOME MODEL'!$A$10:$A$87&amp;'OUTCOME MODEL'!$B$10:$B$87,0),MATCH(Table1[[#This Row],[CAPACITY]],'OUTCOME MODEL'!$I$9:$N$9))</f>
        <v>0.85199999999999998</v>
      </c>
      <c r="G139" s="60">
        <f t="array" ref="G139">+INDEX('OUTCOME MODEL'!$O$10:$T$87,MATCH(Table1[[#This Row],[DRIVERS]]&amp;Table1[[#This Row],[DEMAND]],'OUTCOME MODEL'!$A$10:$A$87&amp;'OUTCOME MODEL'!$B$10:$B$87,0),MATCH(Table1[[#This Row],[CAPACITY]],'OUTCOME MODEL'!$O$9:$T$9))</f>
        <v>0.94052032283730158</v>
      </c>
    </row>
    <row r="140" spans="1:7" x14ac:dyDescent="0.35">
      <c r="A140" s="45">
        <v>5</v>
      </c>
      <c r="B140" s="22">
        <v>6</v>
      </c>
      <c r="C140">
        <v>1.5</v>
      </c>
      <c r="D140" s="46">
        <f t="array" ref="D140">+INDEX('OUTCOME MODEL'!$U$10:$Z$87,MATCH(Table1[[#This Row],[DRIVERS]]&amp;Table1[[#This Row],[DEMAND]],'OUTCOME MODEL'!$A$10:$A$87&amp;'OUTCOME MODEL'!$B$10:$B$87,0),MATCH(Table1[[#This Row],[CAPACITY]],'OUTCOME MODEL'!$U$9:$Z$9))</f>
        <v>46.340744851265953</v>
      </c>
      <c r="E140" s="58">
        <f t="array" ref="E140">+INDEX('OUTCOME MODEL'!$C$10:$H$87,MATCH(Table1[[#This Row],[DRIVERS]]&amp;Table1[[#This Row],[DEMAND]],'OUTCOME MODEL'!$A$10:$A$87&amp;'OUTCOME MODEL'!$B$10:$B$87,0),MATCH(Table1[[#This Row],[CAPACITY]],'OUTCOME MODEL'!$C$9:$H$9))</f>
        <v>0.70614468344786208</v>
      </c>
      <c r="F140" s="58">
        <f t="array" ref="F140">+INDEX('OUTCOME MODEL'!$I$10:$N$87,MATCH(Table1[[#This Row],[DRIVERS]]&amp;Table1[[#This Row],[DEMAND]],'OUTCOME MODEL'!$A$10:$A$87&amp;'OUTCOME MODEL'!$B$10:$B$87,0),MATCH(Table1[[#This Row],[CAPACITY]],'OUTCOME MODEL'!$I$9:$N$9))</f>
        <v>0.81899999999999995</v>
      </c>
      <c r="G140" s="60">
        <f t="array" ref="G140">+INDEX('OUTCOME MODEL'!$O$10:$T$87,MATCH(Table1[[#This Row],[DRIVERS]]&amp;Table1[[#This Row],[DEMAND]],'OUTCOME MODEL'!$A$10:$A$87&amp;'OUTCOME MODEL'!$B$10:$B$87,0),MATCH(Table1[[#This Row],[CAPACITY]],'OUTCOME MODEL'!$O$9:$T$9))</f>
        <v>1.0592170251717932</v>
      </c>
    </row>
    <row r="141" spans="1:7" x14ac:dyDescent="0.35">
      <c r="A141" s="45">
        <v>5</v>
      </c>
      <c r="B141" s="22">
        <v>7</v>
      </c>
      <c r="C141">
        <v>1.5</v>
      </c>
      <c r="D141" s="46">
        <f t="array" ref="D141">+INDEX('OUTCOME MODEL'!$U$10:$Z$87,MATCH(Table1[[#This Row],[DRIVERS]]&amp;Table1[[#This Row],[DEMAND]],'OUTCOME MODEL'!$A$10:$A$87&amp;'OUTCOME MODEL'!$B$10:$B$87,0),MATCH(Table1[[#This Row],[CAPACITY]],'OUTCOME MODEL'!$U$9:$Z$9))</f>
        <v>50.378367318147781</v>
      </c>
      <c r="E141" s="58">
        <f t="array" ref="E141">+INDEX('OUTCOME MODEL'!$C$10:$H$87,MATCH(Table1[[#This Row],[DRIVERS]]&amp;Table1[[#This Row],[DEMAND]],'OUTCOME MODEL'!$A$10:$A$87&amp;'OUTCOME MODEL'!$B$10:$B$87,0),MATCH(Table1[[#This Row],[CAPACITY]],'OUTCOME MODEL'!$C$9:$H$9))</f>
        <v>0.76767035913368054</v>
      </c>
      <c r="F141" s="58">
        <f t="array" ref="F141">+INDEX('OUTCOME MODEL'!$I$10:$N$87,MATCH(Table1[[#This Row],[DRIVERS]]&amp;Table1[[#This Row],[DEMAND]],'OUTCOME MODEL'!$A$10:$A$87&amp;'OUTCOME MODEL'!$B$10:$B$87,0),MATCH(Table1[[#This Row],[CAPACITY]],'OUTCOME MODEL'!$I$9:$N$9))</f>
        <v>0.73899999999999999</v>
      </c>
      <c r="G141" s="60">
        <f t="array" ref="G141">+INDEX('OUTCOME MODEL'!$O$10:$T$87,MATCH(Table1[[#This Row],[DRIVERS]]&amp;Table1[[#This Row],[DEMAND]],'OUTCOME MODEL'!$A$10:$A$87&amp;'OUTCOME MODEL'!$B$10:$B$87,0),MATCH(Table1[[#This Row],[CAPACITY]],'OUTCOME MODEL'!$O$9:$T$9))</f>
        <v>1.1515055387005209</v>
      </c>
    </row>
    <row r="142" spans="1:7" x14ac:dyDescent="0.35">
      <c r="A142" s="45">
        <v>5</v>
      </c>
      <c r="B142" s="22">
        <v>8</v>
      </c>
      <c r="C142">
        <v>1.5</v>
      </c>
      <c r="D142" s="46">
        <f t="array" ref="D142">+INDEX('OUTCOME MODEL'!$U$10:$Z$87,MATCH(Table1[[#This Row],[DRIVERS]]&amp;Table1[[#This Row],[DEMAND]],'OUTCOME MODEL'!$A$10:$A$87&amp;'OUTCOME MODEL'!$B$10:$B$87,0),MATCH(Table1[[#This Row],[CAPACITY]],'OUTCOME MODEL'!$U$9:$Z$9))</f>
        <v>53.011439834409032</v>
      </c>
      <c r="E142" s="58">
        <f t="array" ref="E142">+INDEX('OUTCOME MODEL'!$C$10:$H$87,MATCH(Table1[[#This Row],[DRIVERS]]&amp;Table1[[#This Row],[DEMAND]],'OUTCOME MODEL'!$A$10:$A$87&amp;'OUTCOME MODEL'!$B$10:$B$87,0),MATCH(Table1[[#This Row],[CAPACITY]],'OUTCOME MODEL'!$C$9:$H$9))</f>
        <v>0.80779336890528053</v>
      </c>
      <c r="F142" s="58">
        <f t="array" ref="F142">+INDEX('OUTCOME MODEL'!$I$10:$N$87,MATCH(Table1[[#This Row],[DRIVERS]]&amp;Table1[[#This Row],[DEMAND]],'OUTCOME MODEL'!$A$10:$A$87&amp;'OUTCOME MODEL'!$B$10:$B$87,0),MATCH(Table1[[#This Row],[CAPACITY]],'OUTCOME MODEL'!$I$9:$N$9))</f>
        <v>0.73399999999999999</v>
      </c>
      <c r="G142" s="60">
        <f t="array" ref="G142">+INDEX('OUTCOME MODEL'!$O$10:$T$87,MATCH(Table1[[#This Row],[DRIVERS]]&amp;Table1[[#This Row],[DEMAND]],'OUTCOME MODEL'!$A$10:$A$87&amp;'OUTCOME MODEL'!$B$10:$B$87,0),MATCH(Table1[[#This Row],[CAPACITY]],'OUTCOME MODEL'!$O$9:$T$9))</f>
        <v>1.2116900533579207</v>
      </c>
    </row>
    <row r="143" spans="1:7" x14ac:dyDescent="0.35">
      <c r="A143" s="45">
        <v>5</v>
      </c>
      <c r="B143" s="22">
        <v>9</v>
      </c>
      <c r="C143">
        <v>1.5</v>
      </c>
      <c r="D143" s="46">
        <f t="array" ref="D143">+INDEX('OUTCOME MODEL'!$U$10:$Z$87,MATCH(Table1[[#This Row],[DRIVERS]]&amp;Table1[[#This Row],[DEMAND]],'OUTCOME MODEL'!$A$10:$A$87&amp;'OUTCOME MODEL'!$B$10:$B$87,0),MATCH(Table1[[#This Row],[CAPACITY]],'OUTCOME MODEL'!$U$9:$Z$9))</f>
        <v>55.399667273094956</v>
      </c>
      <c r="E143" s="58">
        <f t="array" ref="E143">+INDEX('OUTCOME MODEL'!$C$10:$H$87,MATCH(Table1[[#This Row],[DRIVERS]]&amp;Table1[[#This Row],[DEMAND]],'OUTCOME MODEL'!$A$10:$A$87&amp;'OUTCOME MODEL'!$B$10:$B$87,0),MATCH(Table1[[#This Row],[CAPACITY]],'OUTCOME MODEL'!$C$9:$H$9))</f>
        <v>0.84418540606620884</v>
      </c>
      <c r="F143" s="58">
        <f t="array" ref="F143">+INDEX('OUTCOME MODEL'!$I$10:$N$87,MATCH(Table1[[#This Row],[DRIVERS]]&amp;Table1[[#This Row],[DEMAND]],'OUTCOME MODEL'!$A$10:$A$87&amp;'OUTCOME MODEL'!$B$10:$B$87,0),MATCH(Table1[[#This Row],[CAPACITY]],'OUTCOME MODEL'!$I$9:$N$9))</f>
        <v>0.66900000000000004</v>
      </c>
      <c r="G143" s="60">
        <f t="array" ref="G143">+INDEX('OUTCOME MODEL'!$O$10:$T$87,MATCH(Table1[[#This Row],[DRIVERS]]&amp;Table1[[#This Row],[DEMAND]],'OUTCOME MODEL'!$A$10:$A$87&amp;'OUTCOME MODEL'!$B$10:$B$87,0),MATCH(Table1[[#This Row],[CAPACITY]],'OUTCOME MODEL'!$O$9:$T$9))</f>
        <v>1.2662781090993134</v>
      </c>
    </row>
    <row r="144" spans="1:7" x14ac:dyDescent="0.35">
      <c r="A144" s="45">
        <v>5</v>
      </c>
      <c r="B144" s="22">
        <v>10</v>
      </c>
      <c r="C144">
        <v>1.5</v>
      </c>
      <c r="D144" s="46">
        <f t="array" ref="D144">+INDEX('OUTCOME MODEL'!$U$10:$Z$87,MATCH(Table1[[#This Row],[DRIVERS]]&amp;Table1[[#This Row],[DEMAND]],'OUTCOME MODEL'!$A$10:$A$87&amp;'OUTCOME MODEL'!$B$10:$B$87,0),MATCH(Table1[[#This Row],[CAPACITY]],'OUTCOME MODEL'!$U$9:$Z$9))</f>
        <v>57.225950742109177</v>
      </c>
      <c r="E144" s="58">
        <f t="array" ref="E144">+INDEX('OUTCOME MODEL'!$C$10:$H$87,MATCH(Table1[[#This Row],[DRIVERS]]&amp;Table1[[#This Row],[DEMAND]],'OUTCOME MODEL'!$A$10:$A$87&amp;'OUTCOME MODEL'!$B$10:$B$87,0),MATCH(Table1[[#This Row],[CAPACITY]],'OUTCOME MODEL'!$C$9:$H$9))</f>
        <v>0.87201448749880639</v>
      </c>
      <c r="F144" s="58">
        <f t="array" ref="F144">+INDEX('OUTCOME MODEL'!$I$10:$N$87,MATCH(Table1[[#This Row],[DRIVERS]]&amp;Table1[[#This Row],[DEMAND]],'OUTCOME MODEL'!$A$10:$A$87&amp;'OUTCOME MODEL'!$B$10:$B$87,0),MATCH(Table1[[#This Row],[CAPACITY]],'OUTCOME MODEL'!$I$9:$N$9))</f>
        <v>0.64600000000000002</v>
      </c>
      <c r="G144" s="60">
        <f t="array" ref="G144">+INDEX('OUTCOME MODEL'!$O$10:$T$87,MATCH(Table1[[#This Row],[DRIVERS]]&amp;Table1[[#This Row],[DEMAND]],'OUTCOME MODEL'!$A$10:$A$87&amp;'OUTCOME MODEL'!$B$10:$B$87,0),MATCH(Table1[[#This Row],[CAPACITY]],'OUTCOME MODEL'!$O$9:$T$9))</f>
        <v>1.3080217312482096</v>
      </c>
    </row>
    <row r="145" spans="1:7" x14ac:dyDescent="0.35">
      <c r="A145" s="45">
        <v>5</v>
      </c>
      <c r="B145" s="22">
        <v>11</v>
      </c>
      <c r="C145">
        <v>1.5</v>
      </c>
      <c r="D145" s="46">
        <f t="array" ref="D145">+INDEX('OUTCOME MODEL'!$U$10:$Z$87,MATCH(Table1[[#This Row],[DRIVERS]]&amp;Table1[[#This Row],[DEMAND]],'OUTCOME MODEL'!$A$10:$A$87&amp;'OUTCOME MODEL'!$B$10:$B$87,0),MATCH(Table1[[#This Row],[CAPACITY]],'OUTCOME MODEL'!$U$9:$Z$9))</f>
        <v>58.425361075220529</v>
      </c>
      <c r="E145" s="58">
        <f t="array" ref="E145">+INDEX('OUTCOME MODEL'!$C$10:$H$87,MATCH(Table1[[#This Row],[DRIVERS]]&amp;Table1[[#This Row],[DEMAND]],'OUTCOME MODEL'!$A$10:$A$87&amp;'OUTCOME MODEL'!$B$10:$B$87,0),MATCH(Table1[[#This Row],[CAPACITY]],'OUTCOME MODEL'!$C$9:$H$9))</f>
        <v>0.89029121638431274</v>
      </c>
      <c r="F145" s="58">
        <f t="array" ref="F145">+INDEX('OUTCOME MODEL'!$I$10:$N$87,MATCH(Table1[[#This Row],[DRIVERS]]&amp;Table1[[#This Row],[DEMAND]],'OUTCOME MODEL'!$A$10:$A$87&amp;'OUTCOME MODEL'!$B$10:$B$87,0),MATCH(Table1[[#This Row],[CAPACITY]],'OUTCOME MODEL'!$I$9:$N$9))</f>
        <v>0.60899999999999999</v>
      </c>
      <c r="G145" s="60">
        <f t="array" ref="G145">+INDEX('OUTCOME MODEL'!$O$10:$T$87,MATCH(Table1[[#This Row],[DRIVERS]]&amp;Table1[[#This Row],[DEMAND]],'OUTCOME MODEL'!$A$10:$A$87&amp;'OUTCOME MODEL'!$B$10:$B$87,0),MATCH(Table1[[#This Row],[CAPACITY]],'OUTCOME MODEL'!$O$9:$T$9))</f>
        <v>1.3354368245764692</v>
      </c>
    </row>
    <row r="146" spans="1:7" x14ac:dyDescent="0.35">
      <c r="A146" s="45">
        <v>5</v>
      </c>
      <c r="B146" s="22">
        <v>12</v>
      </c>
      <c r="C146">
        <v>1.5</v>
      </c>
      <c r="D146" s="46">
        <f t="array" ref="D146">+INDEX('OUTCOME MODEL'!$U$10:$Z$87,MATCH(Table1[[#This Row],[DRIVERS]]&amp;Table1[[#This Row],[DEMAND]],'OUTCOME MODEL'!$A$10:$A$87&amp;'OUTCOME MODEL'!$B$10:$B$87,0),MATCH(Table1[[#This Row],[CAPACITY]],'OUTCOME MODEL'!$U$9:$Z$9))</f>
        <v>59.662837853817777</v>
      </c>
      <c r="E146" s="58">
        <f t="array" ref="E146">+INDEX('OUTCOME MODEL'!$C$10:$H$87,MATCH(Table1[[#This Row],[DRIVERS]]&amp;Table1[[#This Row],[DEMAND]],'OUTCOME MODEL'!$A$10:$A$87&amp;'OUTCOME MODEL'!$B$10:$B$87,0),MATCH(Table1[[#This Row],[CAPACITY]],'OUTCOME MODEL'!$C$9:$H$9))</f>
        <v>0.90914800539150886</v>
      </c>
      <c r="F146" s="58">
        <f t="array" ref="F146">+INDEX('OUTCOME MODEL'!$I$10:$N$87,MATCH(Table1[[#This Row],[DRIVERS]]&amp;Table1[[#This Row],[DEMAND]],'OUTCOME MODEL'!$A$10:$A$87&amp;'OUTCOME MODEL'!$B$10:$B$87,0),MATCH(Table1[[#This Row],[CAPACITY]],'OUTCOME MODEL'!$I$9:$N$9))</f>
        <v>0.57099999999999995</v>
      </c>
      <c r="G146" s="60">
        <f t="array" ref="G146">+INDEX('OUTCOME MODEL'!$O$10:$T$87,MATCH(Table1[[#This Row],[DRIVERS]]&amp;Table1[[#This Row],[DEMAND]],'OUTCOME MODEL'!$A$10:$A$87&amp;'OUTCOME MODEL'!$B$10:$B$87,0),MATCH(Table1[[#This Row],[CAPACITY]],'OUTCOME MODEL'!$O$9:$T$9))</f>
        <v>1.3637220080872634</v>
      </c>
    </row>
    <row r="147" spans="1:7" x14ac:dyDescent="0.35">
      <c r="A147" s="50">
        <v>6</v>
      </c>
      <c r="B147" s="51">
        <v>0</v>
      </c>
      <c r="C147">
        <v>1.5</v>
      </c>
      <c r="D147" s="46">
        <f t="array" ref="D147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47" s="58">
        <f t="array" ref="E147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47" s="58">
        <f t="array" ref="F14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47" s="60">
        <f t="array" ref="G147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48" spans="1:7" x14ac:dyDescent="0.35">
      <c r="A148" s="45">
        <v>6</v>
      </c>
      <c r="B148" s="22">
        <v>1</v>
      </c>
      <c r="C148">
        <v>1.5</v>
      </c>
      <c r="D148" s="46">
        <f t="array" ref="D148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48" s="58">
        <f t="array" ref="E148">+INDEX('OUTCOME MODEL'!$C$10:$H$87,MATCH(Table1[[#This Row],[DRIVERS]]&amp;Table1[[#This Row],[DEMAND]],'OUTCOME MODEL'!$A$10:$A$87&amp;'OUTCOME MODEL'!$B$10:$B$87,0),MATCH(Table1[[#This Row],[CAPACITY]],'OUTCOME MODEL'!$C$9:$H$9))</f>
        <v>0.12682130514766779</v>
      </c>
      <c r="F148" s="58">
        <f t="array" ref="F148">+INDEX('OUTCOME MODEL'!$I$10:$N$87,MATCH(Table1[[#This Row],[DRIVERS]]&amp;Table1[[#This Row],[DEMAND]],'OUTCOME MODEL'!$A$10:$A$87&amp;'OUTCOME MODEL'!$B$10:$B$87,0),MATCH(Table1[[#This Row],[CAPACITY]],'OUTCOME MODEL'!$I$9:$N$9))</f>
        <v>0.88300000000000001</v>
      </c>
      <c r="G148" s="60">
        <f t="array" ref="G148">+INDEX('OUTCOME MODEL'!$O$10:$T$87,MATCH(Table1[[#This Row],[DRIVERS]]&amp;Table1[[#This Row],[DEMAND]],'OUTCOME MODEL'!$A$10:$A$87&amp;'OUTCOME MODEL'!$B$10:$B$87,0),MATCH(Table1[[#This Row],[CAPACITY]],'OUTCOME MODEL'!$O$9:$T$9))</f>
        <v>0.16666666666666666</v>
      </c>
    </row>
    <row r="149" spans="1:7" x14ac:dyDescent="0.35">
      <c r="A149" s="45">
        <v>6</v>
      </c>
      <c r="B149" s="22">
        <v>2</v>
      </c>
      <c r="C149">
        <v>1.5</v>
      </c>
      <c r="D149" s="46">
        <f t="array" ref="D149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49" s="58">
        <f t="array" ref="E149">+INDEX('OUTCOME MODEL'!$C$10:$H$87,MATCH(Table1[[#This Row],[DRIVERS]]&amp;Table1[[#This Row],[DEMAND]],'OUTCOME MODEL'!$A$10:$A$87&amp;'OUTCOME MODEL'!$B$10:$B$87,0),MATCH(Table1[[#This Row],[CAPACITY]],'OUTCOME MODEL'!$C$9:$H$9))</f>
        <v>0.24434099237070139</v>
      </c>
      <c r="F149" s="58">
        <f t="array" ref="F149">+INDEX('OUTCOME MODEL'!$I$10:$N$87,MATCH(Table1[[#This Row],[DRIVERS]]&amp;Table1[[#This Row],[DEMAND]],'OUTCOME MODEL'!$A$10:$A$87&amp;'OUTCOME MODEL'!$B$10:$B$87,0),MATCH(Table1[[#This Row],[CAPACITY]],'OUTCOME MODEL'!$I$9:$N$9))</f>
        <v>0.90200000000000002</v>
      </c>
      <c r="G149" s="60">
        <f t="array" ref="G149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150" spans="1:7" x14ac:dyDescent="0.35">
      <c r="A150" s="45">
        <v>6</v>
      </c>
      <c r="B150" s="22">
        <v>3</v>
      </c>
      <c r="C150">
        <v>1.5</v>
      </c>
      <c r="D150" s="46">
        <f t="array" ref="D150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150" s="58">
        <f t="array" ref="E150">+INDEX('OUTCOME MODEL'!$C$10:$H$87,MATCH(Table1[[#This Row],[DRIVERS]]&amp;Table1[[#This Row],[DEMAND]],'OUTCOME MODEL'!$A$10:$A$87&amp;'OUTCOME MODEL'!$B$10:$B$87,0),MATCH(Table1[[#This Row],[CAPACITY]],'OUTCOME MODEL'!$C$9:$H$9))</f>
        <v>0.35712385114607242</v>
      </c>
      <c r="F150" s="58">
        <f t="array" ref="F150">+INDEX('OUTCOME MODEL'!$I$10:$N$87,MATCH(Table1[[#This Row],[DRIVERS]]&amp;Table1[[#This Row],[DEMAND]],'OUTCOME MODEL'!$A$10:$A$87&amp;'OUTCOME MODEL'!$B$10:$B$87,0),MATCH(Table1[[#This Row],[CAPACITY]],'OUTCOME MODEL'!$I$9:$N$9))</f>
        <v>0.89100000000000001</v>
      </c>
      <c r="G150" s="60">
        <f t="array" ref="G150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151" spans="1:7" x14ac:dyDescent="0.35">
      <c r="A151" s="45">
        <v>6</v>
      </c>
      <c r="B151" s="22">
        <v>4</v>
      </c>
      <c r="C151">
        <v>1.5</v>
      </c>
      <c r="D151" s="46">
        <f t="array" ref="D151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151" s="58">
        <f t="array" ref="E151">+INDEX('OUTCOME MODEL'!$C$10:$H$87,MATCH(Table1[[#This Row],[DRIVERS]]&amp;Table1[[#This Row],[DEMAND]],'OUTCOME MODEL'!$A$10:$A$87&amp;'OUTCOME MODEL'!$B$10:$B$87,0),MATCH(Table1[[#This Row],[CAPACITY]],'OUTCOME MODEL'!$C$9:$H$9))</f>
        <v>0.46158039408062806</v>
      </c>
      <c r="F151" s="58">
        <f t="array" ref="F151">+INDEX('OUTCOME MODEL'!$I$10:$N$87,MATCH(Table1[[#This Row],[DRIVERS]]&amp;Table1[[#This Row],[DEMAND]],'OUTCOME MODEL'!$A$10:$A$87&amp;'OUTCOME MODEL'!$B$10:$B$87,0),MATCH(Table1[[#This Row],[CAPACITY]],'OUTCOME MODEL'!$I$9:$N$9))</f>
        <v>0.875</v>
      </c>
      <c r="G151" s="60">
        <f t="array" ref="G151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152" spans="1:7" x14ac:dyDescent="0.35">
      <c r="A152" s="45">
        <v>6</v>
      </c>
      <c r="B152" s="22">
        <v>5</v>
      </c>
      <c r="C152">
        <v>1.5</v>
      </c>
      <c r="D152" s="46">
        <f t="array" ref="D152">+INDEX('OUTCOME MODEL'!$U$10:$Z$87,MATCH(Table1[[#This Row],[DRIVERS]]&amp;Table1[[#This Row],[DEMAND]],'OUTCOME MODEL'!$A$10:$A$87&amp;'OUTCOME MODEL'!$B$10:$B$87,0),MATCH(Table1[[#This Row],[CAPACITY]],'OUTCOME MODEL'!$U$9:$Z$9))</f>
        <v>43.035725820759787</v>
      </c>
      <c r="E152" s="58">
        <f t="array" ref="E152">+INDEX('OUTCOME MODEL'!$C$10:$H$87,MATCH(Table1[[#This Row],[DRIVERS]]&amp;Table1[[#This Row],[DEMAND]],'OUTCOME MODEL'!$A$10:$A$87&amp;'OUTCOME MODEL'!$B$10:$B$87,0),MATCH(Table1[[#This Row],[CAPACITY]],'OUTCOME MODEL'!$C$9:$H$9))</f>
        <v>0.54648540724774319</v>
      </c>
      <c r="F152" s="58">
        <f t="array" ref="F152">+INDEX('OUTCOME MODEL'!$I$10:$N$87,MATCH(Table1[[#This Row],[DRIVERS]]&amp;Table1[[#This Row],[DEMAND]],'OUTCOME MODEL'!$A$10:$A$87&amp;'OUTCOME MODEL'!$B$10:$B$87,0),MATCH(Table1[[#This Row],[CAPACITY]],'OUTCOME MODEL'!$I$9:$N$9))</f>
        <v>0.86299999999999999</v>
      </c>
      <c r="G152" s="60">
        <f t="array" ref="G152">+INDEX('OUTCOME MODEL'!$O$10:$T$87,MATCH(Table1[[#This Row],[DRIVERS]]&amp;Table1[[#This Row],[DEMAND]],'OUTCOME MODEL'!$A$10:$A$87&amp;'OUTCOME MODEL'!$B$10:$B$87,0),MATCH(Table1[[#This Row],[CAPACITY]],'OUTCOME MODEL'!$O$9:$T$9))</f>
        <v>0.81972811087161479</v>
      </c>
    </row>
    <row r="153" spans="1:7" x14ac:dyDescent="0.35">
      <c r="A153" s="45">
        <v>6</v>
      </c>
      <c r="B153" s="22">
        <v>6</v>
      </c>
      <c r="C153">
        <v>1.5</v>
      </c>
      <c r="D153" s="46">
        <f t="array" ref="D153">+INDEX('OUTCOME MODEL'!$U$10:$Z$87,MATCH(Table1[[#This Row],[DRIVERS]]&amp;Table1[[#This Row],[DEMAND]],'OUTCOME MODEL'!$A$10:$A$87&amp;'OUTCOME MODEL'!$B$10:$B$87,0),MATCH(Table1[[#This Row],[CAPACITY]],'OUTCOME MODEL'!$U$9:$Z$9))</f>
        <v>49.433160274267912</v>
      </c>
      <c r="E153" s="58">
        <f t="array" ref="E153">+INDEX('OUTCOME MODEL'!$C$10:$H$87,MATCH(Table1[[#This Row],[DRIVERS]]&amp;Table1[[#This Row],[DEMAND]],'OUTCOME MODEL'!$A$10:$A$87&amp;'OUTCOME MODEL'!$B$10:$B$87,0),MATCH(Table1[[#This Row],[CAPACITY]],'OUTCOME MODEL'!$C$9:$H$9))</f>
        <v>0.62772267014943384</v>
      </c>
      <c r="F153" s="58">
        <f t="array" ref="F153">+INDEX('OUTCOME MODEL'!$I$10:$N$87,MATCH(Table1[[#This Row],[DRIVERS]]&amp;Table1[[#This Row],[DEMAND]],'OUTCOME MODEL'!$A$10:$A$87&amp;'OUTCOME MODEL'!$B$10:$B$87,0),MATCH(Table1[[#This Row],[CAPACITY]],'OUTCOME MODEL'!$I$9:$N$9))</f>
        <v>0.86799999999999999</v>
      </c>
      <c r="G153" s="60">
        <f t="array" ref="G153">+INDEX('OUTCOME MODEL'!$O$10:$T$87,MATCH(Table1[[#This Row],[DRIVERS]]&amp;Table1[[#This Row],[DEMAND]],'OUTCOME MODEL'!$A$10:$A$87&amp;'OUTCOME MODEL'!$B$10:$B$87,0),MATCH(Table1[[#This Row],[CAPACITY]],'OUTCOME MODEL'!$O$9:$T$9))</f>
        <v>0.94158400522415076</v>
      </c>
    </row>
    <row r="154" spans="1:7" x14ac:dyDescent="0.35">
      <c r="A154" s="45">
        <v>6</v>
      </c>
      <c r="B154" s="22">
        <v>7</v>
      </c>
      <c r="C154">
        <v>1.5</v>
      </c>
      <c r="D154" s="46">
        <f t="array" ref="D154">+INDEX('OUTCOME MODEL'!$U$10:$Z$87,MATCH(Table1[[#This Row],[DRIVERS]]&amp;Table1[[#This Row],[DEMAND]],'OUTCOME MODEL'!$A$10:$A$87&amp;'OUTCOME MODEL'!$B$10:$B$87,0),MATCH(Table1[[#This Row],[CAPACITY]],'OUTCOME MODEL'!$U$9:$Z$9))</f>
        <v>55.021347196728968</v>
      </c>
      <c r="E154" s="58">
        <f t="array" ref="E154">+INDEX('OUTCOME MODEL'!$C$10:$H$87,MATCH(Table1[[#This Row],[DRIVERS]]&amp;Table1[[#This Row],[DEMAND]],'OUTCOME MODEL'!$A$10:$A$87&amp;'OUTCOME MODEL'!$B$10:$B$87,0),MATCH(Table1[[#This Row],[CAPACITY]],'OUTCOME MODEL'!$C$9:$H$9))</f>
        <v>0.69868377392671699</v>
      </c>
      <c r="F154" s="58">
        <f t="array" ref="F154">+INDEX('OUTCOME MODEL'!$I$10:$N$87,MATCH(Table1[[#This Row],[DRIVERS]]&amp;Table1[[#This Row],[DEMAND]],'OUTCOME MODEL'!$A$10:$A$87&amp;'OUTCOME MODEL'!$B$10:$B$87,0),MATCH(Table1[[#This Row],[CAPACITY]],'OUTCOME MODEL'!$I$9:$N$9))</f>
        <v>0.82899999999999996</v>
      </c>
      <c r="G154" s="60">
        <f t="array" ref="G154">+INDEX('OUTCOME MODEL'!$O$10:$T$87,MATCH(Table1[[#This Row],[DRIVERS]]&amp;Table1[[#This Row],[DEMAND]],'OUTCOME MODEL'!$A$10:$A$87&amp;'OUTCOME MODEL'!$B$10:$B$87,0),MATCH(Table1[[#This Row],[CAPACITY]],'OUTCOME MODEL'!$O$9:$T$9))</f>
        <v>1.0480256608900755</v>
      </c>
    </row>
    <row r="155" spans="1:7" x14ac:dyDescent="0.35">
      <c r="A155" s="45">
        <v>6</v>
      </c>
      <c r="B155" s="22">
        <v>8</v>
      </c>
      <c r="C155">
        <v>1.5</v>
      </c>
      <c r="D155" s="46">
        <f t="array" ref="D155">+INDEX('OUTCOME MODEL'!$U$10:$Z$87,MATCH(Table1[[#This Row],[DRIVERS]]&amp;Table1[[#This Row],[DEMAND]],'OUTCOME MODEL'!$A$10:$A$87&amp;'OUTCOME MODEL'!$B$10:$B$87,0),MATCH(Table1[[#This Row],[CAPACITY]],'OUTCOME MODEL'!$U$9:$Z$9))</f>
        <v>58.31900538580858</v>
      </c>
      <c r="E155" s="58">
        <f t="array" ref="E155">+INDEX('OUTCOME MODEL'!$C$10:$H$87,MATCH(Table1[[#This Row],[DRIVERS]]&amp;Table1[[#This Row],[DEMAND]],'OUTCOME MODEL'!$A$10:$A$87&amp;'OUTCOME MODEL'!$B$10:$B$87,0),MATCH(Table1[[#This Row],[CAPACITY]],'OUTCOME MODEL'!$C$9:$H$9))</f>
        <v>0.74055879854995021</v>
      </c>
      <c r="F155" s="58">
        <f t="array" ref="F155">+INDEX('OUTCOME MODEL'!$I$10:$N$87,MATCH(Table1[[#This Row],[DRIVERS]]&amp;Table1[[#This Row],[DEMAND]],'OUTCOME MODEL'!$A$10:$A$87&amp;'OUTCOME MODEL'!$B$10:$B$87,0),MATCH(Table1[[#This Row],[CAPACITY]],'OUTCOME MODEL'!$I$9:$N$9))</f>
        <v>0.78200000000000003</v>
      </c>
      <c r="G155" s="60">
        <f t="array" ref="G155">+INDEX('OUTCOME MODEL'!$O$10:$T$87,MATCH(Table1[[#This Row],[DRIVERS]]&amp;Table1[[#This Row],[DEMAND]],'OUTCOME MODEL'!$A$10:$A$87&amp;'OUTCOME MODEL'!$B$10:$B$87,0),MATCH(Table1[[#This Row],[CAPACITY]],'OUTCOME MODEL'!$O$9:$T$9))</f>
        <v>1.1108381978249253</v>
      </c>
    </row>
    <row r="156" spans="1:7" x14ac:dyDescent="0.35">
      <c r="A156" s="45">
        <v>6</v>
      </c>
      <c r="B156" s="22">
        <v>9</v>
      </c>
      <c r="C156">
        <v>1.5</v>
      </c>
      <c r="D156" s="46">
        <f t="array" ref="D156">+INDEX('OUTCOME MODEL'!$U$10:$Z$87,MATCH(Table1[[#This Row],[DRIVERS]]&amp;Table1[[#This Row],[DEMAND]],'OUTCOME MODEL'!$A$10:$A$87&amp;'OUTCOME MODEL'!$B$10:$B$87,0),MATCH(Table1[[#This Row],[CAPACITY]],'OUTCOME MODEL'!$U$9:$Z$9))</f>
        <v>61.682728618460125</v>
      </c>
      <c r="E156" s="58">
        <f t="array" ref="E156">+INDEX('OUTCOME MODEL'!$C$10:$H$87,MATCH(Table1[[#This Row],[DRIVERS]]&amp;Table1[[#This Row],[DEMAND]],'OUTCOME MODEL'!$A$10:$A$87&amp;'OUTCOME MODEL'!$B$10:$B$87,0),MATCH(Table1[[#This Row],[CAPACITY]],'OUTCOME MODEL'!$C$9:$H$9))</f>
        <v>0.78327274436139849</v>
      </c>
      <c r="F156" s="58">
        <f t="array" ref="F156">+INDEX('OUTCOME MODEL'!$I$10:$N$87,MATCH(Table1[[#This Row],[DRIVERS]]&amp;Table1[[#This Row],[DEMAND]],'OUTCOME MODEL'!$A$10:$A$87&amp;'OUTCOME MODEL'!$B$10:$B$87,0),MATCH(Table1[[#This Row],[CAPACITY]],'OUTCOME MODEL'!$I$9:$N$9))</f>
        <v>0.76300000000000001</v>
      </c>
      <c r="G156" s="60">
        <f t="array" ref="G156">+INDEX('OUTCOME MODEL'!$O$10:$T$87,MATCH(Table1[[#This Row],[DRIVERS]]&amp;Table1[[#This Row],[DEMAND]],'OUTCOME MODEL'!$A$10:$A$87&amp;'OUTCOME MODEL'!$B$10:$B$87,0),MATCH(Table1[[#This Row],[CAPACITY]],'OUTCOME MODEL'!$O$9:$T$9))</f>
        <v>1.1749091165420977</v>
      </c>
    </row>
    <row r="157" spans="1:7" x14ac:dyDescent="0.35">
      <c r="A157" s="45">
        <v>6</v>
      </c>
      <c r="B157" s="22">
        <v>10</v>
      </c>
      <c r="C157">
        <v>1.5</v>
      </c>
      <c r="D157" s="46">
        <f t="array" ref="D157">+INDEX('OUTCOME MODEL'!$U$10:$Z$87,MATCH(Table1[[#This Row],[DRIVERS]]&amp;Table1[[#This Row],[DEMAND]],'OUTCOME MODEL'!$A$10:$A$87&amp;'OUTCOME MODEL'!$B$10:$B$87,0),MATCH(Table1[[#This Row],[CAPACITY]],'OUTCOME MODEL'!$U$9:$Z$9))</f>
        <v>64.3704812241604</v>
      </c>
      <c r="E157" s="58">
        <f t="array" ref="E157">+INDEX('OUTCOME MODEL'!$C$10:$H$87,MATCH(Table1[[#This Row],[DRIVERS]]&amp;Table1[[#This Row],[DEMAND]],'OUTCOME MODEL'!$A$10:$A$87&amp;'OUTCOME MODEL'!$B$10:$B$87,0),MATCH(Table1[[#This Row],[CAPACITY]],'OUTCOME MODEL'!$C$9:$H$9))</f>
        <v>0.81740293617981463</v>
      </c>
      <c r="F157" s="58">
        <f t="array" ref="F157">+INDEX('OUTCOME MODEL'!$I$10:$N$87,MATCH(Table1[[#This Row],[DRIVERS]]&amp;Table1[[#This Row],[DEMAND]],'OUTCOME MODEL'!$A$10:$A$87&amp;'OUTCOME MODEL'!$B$10:$B$87,0),MATCH(Table1[[#This Row],[CAPACITY]],'OUTCOME MODEL'!$I$9:$N$9))</f>
        <v>0.73499999999999999</v>
      </c>
      <c r="G157" s="60">
        <f t="array" ref="G157">+INDEX('OUTCOME MODEL'!$O$10:$T$87,MATCH(Table1[[#This Row],[DRIVERS]]&amp;Table1[[#This Row],[DEMAND]],'OUTCOME MODEL'!$A$10:$A$87&amp;'OUTCOME MODEL'!$B$10:$B$87,0),MATCH(Table1[[#This Row],[CAPACITY]],'OUTCOME MODEL'!$O$9:$T$9))</f>
        <v>1.226104404269722</v>
      </c>
    </row>
    <row r="158" spans="1:7" x14ac:dyDescent="0.35">
      <c r="A158" s="45">
        <v>6</v>
      </c>
      <c r="B158" s="22">
        <v>11</v>
      </c>
      <c r="C158">
        <v>1.5</v>
      </c>
      <c r="D158" s="46">
        <f t="array" ref="D158">+INDEX('OUTCOME MODEL'!$U$10:$Z$87,MATCH(Table1[[#This Row],[DRIVERS]]&amp;Table1[[#This Row],[DEMAND]],'OUTCOME MODEL'!$A$10:$A$87&amp;'OUTCOME MODEL'!$B$10:$B$87,0),MATCH(Table1[[#This Row],[CAPACITY]],'OUTCOME MODEL'!$U$9:$Z$9))</f>
        <v>66.117745557434262</v>
      </c>
      <c r="E158" s="58">
        <f t="array" ref="E158">+INDEX('OUTCOME MODEL'!$C$10:$H$87,MATCH(Table1[[#This Row],[DRIVERS]]&amp;Table1[[#This Row],[DEMAND]],'OUTCOME MODEL'!$A$10:$A$87&amp;'OUTCOME MODEL'!$B$10:$B$87,0),MATCH(Table1[[#This Row],[CAPACITY]],'OUTCOME MODEL'!$C$9:$H$9))</f>
        <v>0.83959041977694293</v>
      </c>
      <c r="F158" s="58">
        <f t="array" ref="F158">+INDEX('OUTCOME MODEL'!$I$10:$N$87,MATCH(Table1[[#This Row],[DRIVERS]]&amp;Table1[[#This Row],[DEMAND]],'OUTCOME MODEL'!$A$10:$A$87&amp;'OUTCOME MODEL'!$B$10:$B$87,0),MATCH(Table1[[#This Row],[CAPACITY]],'OUTCOME MODEL'!$I$9:$N$9))</f>
        <v>0.69599999999999995</v>
      </c>
      <c r="G158" s="60">
        <f t="array" ref="G158">+INDEX('OUTCOME MODEL'!$O$10:$T$87,MATCH(Table1[[#This Row],[DRIVERS]]&amp;Table1[[#This Row],[DEMAND]],'OUTCOME MODEL'!$A$10:$A$87&amp;'OUTCOME MODEL'!$B$10:$B$87,0),MATCH(Table1[[#This Row],[CAPACITY]],'OUTCOME MODEL'!$O$9:$T$9))</f>
        <v>1.2593856296654145</v>
      </c>
    </row>
    <row r="159" spans="1:7" x14ac:dyDescent="0.35">
      <c r="A159" s="19">
        <v>6</v>
      </c>
      <c r="B159" s="20">
        <v>12</v>
      </c>
      <c r="C159">
        <v>1.5</v>
      </c>
      <c r="D159" s="46">
        <f t="array" ref="D159">+INDEX('OUTCOME MODEL'!$U$10:$Z$87,MATCH(Table1[[#This Row],[DRIVERS]]&amp;Table1[[#This Row],[DEMAND]],'OUTCOME MODEL'!$A$10:$A$87&amp;'OUTCOME MODEL'!$B$10:$B$87,0),MATCH(Table1[[#This Row],[CAPACITY]],'OUTCOME MODEL'!$U$9:$Z$9))</f>
        <v>67.410263976558127</v>
      </c>
      <c r="E159" s="58">
        <f t="array" ref="E159">+INDEX('OUTCOME MODEL'!$C$10:$H$87,MATCH(Table1[[#This Row],[DRIVERS]]&amp;Table1[[#This Row],[DEMAND]],'OUTCOME MODEL'!$A$10:$A$87&amp;'OUTCOME MODEL'!$B$10:$B$87,0),MATCH(Table1[[#This Row],[CAPACITY]],'OUTCOME MODEL'!$C$9:$H$9))</f>
        <v>0.85600335208327794</v>
      </c>
      <c r="F159" s="58">
        <f t="array" ref="F159">+INDEX('OUTCOME MODEL'!$I$10:$N$87,MATCH(Table1[[#This Row],[DRIVERS]]&amp;Table1[[#This Row],[DEMAND]],'OUTCOME MODEL'!$A$10:$A$87&amp;'OUTCOME MODEL'!$B$10:$B$87,0),MATCH(Table1[[#This Row],[CAPACITY]],'OUTCOME MODEL'!$I$9:$N$9))</f>
        <v>0.65100000000000002</v>
      </c>
      <c r="G159" s="60">
        <f t="array" ref="G159">+INDEX('OUTCOME MODEL'!$O$10:$T$87,MATCH(Table1[[#This Row],[DRIVERS]]&amp;Table1[[#This Row],[DEMAND]],'OUTCOME MODEL'!$A$10:$A$87&amp;'OUTCOME MODEL'!$B$10:$B$87,0),MATCH(Table1[[#This Row],[CAPACITY]],'OUTCOME MODEL'!$O$9:$T$9))</f>
        <v>1.2840050281249169</v>
      </c>
    </row>
    <row r="160" spans="1:7" x14ac:dyDescent="0.35">
      <c r="A160" s="48">
        <v>1</v>
      </c>
      <c r="B160" s="49">
        <v>0</v>
      </c>
      <c r="C160">
        <v>2</v>
      </c>
      <c r="D160" s="46">
        <f t="array" ref="D160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60" s="58">
        <f t="array" ref="E160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60" s="58">
        <f t="array" ref="F16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60" s="60">
        <f t="array" ref="G160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61" spans="1:7" x14ac:dyDescent="0.35">
      <c r="A161" s="45">
        <v>1</v>
      </c>
      <c r="B161" s="22">
        <v>1</v>
      </c>
      <c r="C161">
        <v>2</v>
      </c>
      <c r="D161" s="46">
        <f t="array" ref="D161">+INDEX('OUTCOME MODEL'!$U$10:$Z$87,MATCH(Table1[[#This Row],[DRIVERS]]&amp;Table1[[#This Row],[DEMAND]],'OUTCOME MODEL'!$A$10:$A$87&amp;'OUTCOME MODEL'!$B$10:$B$87,0),MATCH(Table1[[#This Row],[CAPACITY]],'OUTCOME MODEL'!$U$9:$Z$9))</f>
        <v>8.1353113775792352</v>
      </c>
      <c r="E161" s="58">
        <f t="array" ref="E161">+INDEX('OUTCOME MODEL'!$C$10:$H$87,MATCH(Table1[[#This Row],[DRIVERS]]&amp;Table1[[#This Row],[DEMAND]],'OUTCOME MODEL'!$A$10:$A$87&amp;'OUTCOME MODEL'!$B$10:$B$87,0),MATCH(Table1[[#This Row],[CAPACITY]],'OUTCOME MODEL'!$C$9:$H$9))</f>
        <v>0.46487493586167061</v>
      </c>
      <c r="F161" s="58">
        <f t="array" ref="F161">+INDEX('OUTCOME MODEL'!$I$10:$N$87,MATCH(Table1[[#This Row],[DRIVERS]]&amp;Table1[[#This Row],[DEMAND]],'OUTCOME MODEL'!$A$10:$A$87&amp;'OUTCOME MODEL'!$B$10:$B$87,0),MATCH(Table1[[#This Row],[CAPACITY]],'OUTCOME MODEL'!$I$9:$N$9))</f>
        <v>0.73399999999999999</v>
      </c>
      <c r="G161" s="60">
        <f t="array" ref="G161">+INDEX('OUTCOME MODEL'!$O$10:$T$87,MATCH(Table1[[#This Row],[DRIVERS]]&amp;Table1[[#This Row],[DEMAND]],'OUTCOME MODEL'!$A$10:$A$87&amp;'OUTCOME MODEL'!$B$10:$B$87,0),MATCH(Table1[[#This Row],[CAPACITY]],'OUTCOME MODEL'!$O$9:$T$9))</f>
        <v>0.92974987172334123</v>
      </c>
    </row>
    <row r="162" spans="1:7" x14ac:dyDescent="0.35">
      <c r="A162" s="45">
        <v>1</v>
      </c>
      <c r="B162" s="22">
        <v>2</v>
      </c>
      <c r="C162">
        <v>2</v>
      </c>
      <c r="D162" s="46">
        <f t="array" ref="D162">+INDEX('OUTCOME MODEL'!$U$10:$Z$87,MATCH(Table1[[#This Row],[DRIVERS]]&amp;Table1[[#This Row],[DEMAND]],'OUTCOME MODEL'!$A$10:$A$87&amp;'OUTCOME MODEL'!$B$10:$B$87,0),MATCH(Table1[[#This Row],[CAPACITY]],'OUTCOME MODEL'!$U$9:$Z$9))</f>
        <v>12.708053362345638</v>
      </c>
      <c r="E162" s="58">
        <f t="array" ref="E162">+INDEX('OUTCOME MODEL'!$C$10:$H$87,MATCH(Table1[[#This Row],[DRIVERS]]&amp;Table1[[#This Row],[DEMAND]],'OUTCOME MODEL'!$A$10:$A$87&amp;'OUTCOME MODEL'!$B$10:$B$87,0),MATCH(Table1[[#This Row],[CAPACITY]],'OUTCOME MODEL'!$C$9:$H$9))</f>
        <v>0.72617447784832212</v>
      </c>
      <c r="F162" s="58">
        <f t="array" ref="F162">+INDEX('OUTCOME MODEL'!$I$10:$N$87,MATCH(Table1[[#This Row],[DRIVERS]]&amp;Table1[[#This Row],[DEMAND]],'OUTCOME MODEL'!$A$10:$A$87&amp;'OUTCOME MODEL'!$B$10:$B$87,0),MATCH(Table1[[#This Row],[CAPACITY]],'OUTCOME MODEL'!$I$9:$N$9))</f>
        <v>0.57799999999999996</v>
      </c>
      <c r="G162" s="60">
        <f t="array" ref="G162">+INDEX('OUTCOME MODEL'!$O$10:$T$87,MATCH(Table1[[#This Row],[DRIVERS]]&amp;Table1[[#This Row],[DEMAND]],'OUTCOME MODEL'!$A$10:$A$87&amp;'OUTCOME MODEL'!$B$10:$B$87,0),MATCH(Table1[[#This Row],[CAPACITY]],'OUTCOME MODEL'!$O$9:$T$9))</f>
        <v>1.4523489556966442</v>
      </c>
    </row>
    <row r="163" spans="1:7" x14ac:dyDescent="0.35">
      <c r="A163" s="45">
        <v>1</v>
      </c>
      <c r="B163" s="22">
        <v>3</v>
      </c>
      <c r="C163">
        <v>2</v>
      </c>
      <c r="D163" s="46">
        <f t="array" ref="D163">+INDEX('OUTCOME MODEL'!$U$10:$Z$87,MATCH(Table1[[#This Row],[DRIVERS]]&amp;Table1[[#This Row],[DEMAND]],'OUTCOME MODEL'!$A$10:$A$87&amp;'OUTCOME MODEL'!$B$10:$B$87,0),MATCH(Table1[[#This Row],[CAPACITY]],'OUTCOME MODEL'!$U$9:$Z$9))</f>
        <v>15.378436029136722</v>
      </c>
      <c r="E163" s="58">
        <f t="array" ref="E163">+INDEX('OUTCOME MODEL'!$C$10:$H$87,MATCH(Table1[[#This Row],[DRIVERS]]&amp;Table1[[#This Row],[DEMAND]],'OUTCOME MODEL'!$A$10:$A$87&amp;'OUTCOME MODEL'!$B$10:$B$87,0),MATCH(Table1[[#This Row],[CAPACITY]],'OUTCOME MODEL'!$C$9:$H$9))</f>
        <v>0.87876777309352705</v>
      </c>
      <c r="F163" s="58">
        <f t="array" ref="F163">+INDEX('OUTCOME MODEL'!$I$10:$N$87,MATCH(Table1[[#This Row],[DRIVERS]]&amp;Table1[[#This Row],[DEMAND]],'OUTCOME MODEL'!$A$10:$A$87&amp;'OUTCOME MODEL'!$B$10:$B$87,0),MATCH(Table1[[#This Row],[CAPACITY]],'OUTCOME MODEL'!$I$9:$N$9))</f>
        <v>0.48099999999999998</v>
      </c>
      <c r="G163" s="60">
        <f t="array" ref="G163">+INDEX('OUTCOME MODEL'!$O$10:$T$87,MATCH(Table1[[#This Row],[DRIVERS]]&amp;Table1[[#This Row],[DEMAND]],'OUTCOME MODEL'!$A$10:$A$87&amp;'OUTCOME MODEL'!$B$10:$B$87,0),MATCH(Table1[[#This Row],[CAPACITY]],'OUTCOME MODEL'!$O$9:$T$9))</f>
        <v>1.7575355461870541</v>
      </c>
    </row>
    <row r="164" spans="1:7" x14ac:dyDescent="0.35">
      <c r="A164" s="45">
        <v>1</v>
      </c>
      <c r="B164" s="22">
        <v>4</v>
      </c>
      <c r="C164">
        <v>2</v>
      </c>
      <c r="D164" s="46">
        <f t="array" ref="D164">+INDEX('OUTCOME MODEL'!$U$10:$Z$87,MATCH(Table1[[#This Row],[DRIVERS]]&amp;Table1[[#This Row],[DEMAND]],'OUTCOME MODEL'!$A$10:$A$87&amp;'OUTCOME MODEL'!$B$10:$B$87,0),MATCH(Table1[[#This Row],[CAPACITY]],'OUTCOME MODEL'!$U$9:$Z$9))</f>
        <v>16.942649687736509</v>
      </c>
      <c r="E164" s="58">
        <f t="array" ref="E164">+INDEX('OUTCOME MODEL'!$C$10:$H$87,MATCH(Table1[[#This Row],[DRIVERS]]&amp;Table1[[#This Row],[DEMAND]],'OUTCOME MODEL'!$A$10:$A$87&amp;'OUTCOME MODEL'!$B$10:$B$87,0),MATCH(Table1[[#This Row],[CAPACITY]],'OUTCOME MODEL'!$C$9:$H$9))</f>
        <v>0.96815141072780053</v>
      </c>
      <c r="F164" s="58">
        <f t="array" ref="F164">+INDEX('OUTCOME MODEL'!$I$10:$N$87,MATCH(Table1[[#This Row],[DRIVERS]]&amp;Table1[[#This Row],[DEMAND]],'OUTCOME MODEL'!$A$10:$A$87&amp;'OUTCOME MODEL'!$B$10:$B$87,0),MATCH(Table1[[#This Row],[CAPACITY]],'OUTCOME MODEL'!$I$9:$N$9))</f>
        <v>0.42899999999999999</v>
      </c>
      <c r="G164" s="60">
        <f t="array" ref="G164">+INDEX('OUTCOME MODEL'!$O$10:$T$87,MATCH(Table1[[#This Row],[DRIVERS]]&amp;Table1[[#This Row],[DEMAND]],'OUTCOME MODEL'!$A$10:$A$87&amp;'OUTCOME MODEL'!$B$10:$B$87,0),MATCH(Table1[[#This Row],[CAPACITY]],'OUTCOME MODEL'!$O$9:$T$9))</f>
        <v>1.9363028214556011</v>
      </c>
    </row>
    <row r="165" spans="1:7" x14ac:dyDescent="0.35">
      <c r="A165" s="45">
        <v>1</v>
      </c>
      <c r="B165" s="22">
        <v>5</v>
      </c>
      <c r="C165">
        <v>2</v>
      </c>
      <c r="D165" s="46">
        <f t="array" ref="D165">+INDEX('OUTCOME MODEL'!$U$10:$Z$87,MATCH(Table1[[#This Row],[DRIVERS]]&amp;Table1[[#This Row],[DEMAND]],'OUTCOME MODEL'!$A$10:$A$87&amp;'OUTCOME MODEL'!$B$10:$B$87,0),MATCH(Table1[[#This Row],[CAPACITY]],'OUTCOME MODEL'!$U$9:$Z$9))</f>
        <v>18.013084955699433</v>
      </c>
      <c r="E165" s="58">
        <f t="array" ref="E165">+INDEX('OUTCOME MODEL'!$C$10:$H$87,MATCH(Table1[[#This Row],[DRIVERS]]&amp;Table1[[#This Row],[DEMAND]],'OUTCOME MODEL'!$A$10:$A$87&amp;'OUTCOME MODEL'!$B$10:$B$87,0),MATCH(Table1[[#This Row],[CAPACITY]],'OUTCOME MODEL'!$C$9:$H$9))</f>
        <v>1.0293191403256818</v>
      </c>
      <c r="F165" s="58">
        <f t="array" ref="F165">+INDEX('OUTCOME MODEL'!$I$10:$N$87,MATCH(Table1[[#This Row],[DRIVERS]]&amp;Table1[[#This Row],[DEMAND]],'OUTCOME MODEL'!$A$10:$A$87&amp;'OUTCOME MODEL'!$B$10:$B$87,0),MATCH(Table1[[#This Row],[CAPACITY]],'OUTCOME MODEL'!$I$9:$N$9))</f>
        <v>0.35899999999999999</v>
      </c>
      <c r="G165" s="60">
        <f t="array" ref="G165">+INDEX('OUTCOME MODEL'!$O$10:$T$87,MATCH(Table1[[#This Row],[DRIVERS]]&amp;Table1[[#This Row],[DEMAND]],'OUTCOME MODEL'!$A$10:$A$87&amp;'OUTCOME MODEL'!$B$10:$B$87,0),MATCH(Table1[[#This Row],[CAPACITY]],'OUTCOME MODEL'!$O$9:$T$9))</f>
        <v>2.0586382806513637</v>
      </c>
    </row>
    <row r="166" spans="1:7" x14ac:dyDescent="0.35">
      <c r="A166" s="45">
        <v>1</v>
      </c>
      <c r="B166" s="22">
        <v>6</v>
      </c>
      <c r="C166">
        <v>2</v>
      </c>
      <c r="D166" s="46">
        <f t="array" ref="D166">+INDEX('OUTCOME MODEL'!$U$10:$Z$87,MATCH(Table1[[#This Row],[DRIVERS]]&amp;Table1[[#This Row],[DEMAND]],'OUTCOME MODEL'!$A$10:$A$87&amp;'OUTCOME MODEL'!$B$10:$B$87,0),MATCH(Table1[[#This Row],[CAPACITY]],'OUTCOME MODEL'!$U$9:$Z$9))</f>
        <v>18.792897659487764</v>
      </c>
      <c r="E166" s="58">
        <f t="array" ref="E166">+INDEX('OUTCOME MODEL'!$C$10:$H$87,MATCH(Table1[[#This Row],[DRIVERS]]&amp;Table1[[#This Row],[DEMAND]],'OUTCOME MODEL'!$A$10:$A$87&amp;'OUTCOME MODEL'!$B$10:$B$87,0),MATCH(Table1[[#This Row],[CAPACITY]],'OUTCOME MODEL'!$C$9:$H$9))</f>
        <v>1.0738798662564437</v>
      </c>
      <c r="F166" s="58">
        <f t="array" ref="F166">+INDEX('OUTCOME MODEL'!$I$10:$N$87,MATCH(Table1[[#This Row],[DRIVERS]]&amp;Table1[[#This Row],[DEMAND]],'OUTCOME MODEL'!$A$10:$A$87&amp;'OUTCOME MODEL'!$B$10:$B$87,0),MATCH(Table1[[#This Row],[CAPACITY]],'OUTCOME MODEL'!$I$9:$N$9))</f>
        <v>0.309</v>
      </c>
      <c r="G166" s="60">
        <f t="array" ref="G166">+INDEX('OUTCOME MODEL'!$O$10:$T$87,MATCH(Table1[[#This Row],[DRIVERS]]&amp;Table1[[#This Row],[DEMAND]],'OUTCOME MODEL'!$A$10:$A$87&amp;'OUTCOME MODEL'!$B$10:$B$87,0),MATCH(Table1[[#This Row],[CAPACITY]],'OUTCOME MODEL'!$O$9:$T$9))</f>
        <v>2.1477597325128874</v>
      </c>
    </row>
    <row r="167" spans="1:7" x14ac:dyDescent="0.35">
      <c r="A167" s="45">
        <v>1</v>
      </c>
      <c r="B167" s="22">
        <v>7</v>
      </c>
      <c r="C167">
        <v>2</v>
      </c>
      <c r="D167" s="46">
        <f t="array" ref="D167">+INDEX('OUTCOME MODEL'!$U$10:$Z$87,MATCH(Table1[[#This Row],[DRIVERS]]&amp;Table1[[#This Row],[DEMAND]],'OUTCOME MODEL'!$A$10:$A$87&amp;'OUTCOME MODEL'!$B$10:$B$87,0),MATCH(Table1[[#This Row],[CAPACITY]],'OUTCOME MODEL'!$U$9:$Z$9))</f>
        <v>19.348026968310048</v>
      </c>
      <c r="E167" s="58">
        <f t="array" ref="E167">+INDEX('OUTCOME MODEL'!$C$10:$H$87,MATCH(Table1[[#This Row],[DRIVERS]]&amp;Table1[[#This Row],[DEMAND]],'OUTCOME MODEL'!$A$10:$A$87&amp;'OUTCOME MODEL'!$B$10:$B$87,0),MATCH(Table1[[#This Row],[CAPACITY]],'OUTCOME MODEL'!$C$9:$H$9))</f>
        <v>1.1056015410462885</v>
      </c>
      <c r="F167" s="58">
        <f t="array" ref="F167">+INDEX('OUTCOME MODEL'!$I$10:$N$87,MATCH(Table1[[#This Row],[DRIVERS]]&amp;Table1[[#This Row],[DEMAND]],'OUTCOME MODEL'!$A$10:$A$87&amp;'OUTCOME MODEL'!$B$10:$B$87,0),MATCH(Table1[[#This Row],[CAPACITY]],'OUTCOME MODEL'!$I$9:$N$9))</f>
        <v>0.28000000000000003</v>
      </c>
      <c r="G167" s="60">
        <f t="array" ref="G167">+INDEX('OUTCOME MODEL'!$O$10:$T$87,MATCH(Table1[[#This Row],[DRIVERS]]&amp;Table1[[#This Row],[DEMAND]],'OUTCOME MODEL'!$A$10:$A$87&amp;'OUTCOME MODEL'!$B$10:$B$87,0),MATCH(Table1[[#This Row],[CAPACITY]],'OUTCOME MODEL'!$O$9:$T$9))</f>
        <v>2.211203082092577</v>
      </c>
    </row>
    <row r="168" spans="1:7" x14ac:dyDescent="0.35">
      <c r="A168" s="45">
        <v>1</v>
      </c>
      <c r="B168" s="22">
        <v>8</v>
      </c>
      <c r="C168">
        <v>2</v>
      </c>
      <c r="D168" s="46">
        <f t="array" ref="D168">+INDEX('OUTCOME MODEL'!$U$10:$Z$87,MATCH(Table1[[#This Row],[DRIVERS]]&amp;Table1[[#This Row],[DEMAND]],'OUTCOME MODEL'!$A$10:$A$87&amp;'OUTCOME MODEL'!$B$10:$B$87,0),MATCH(Table1[[#This Row],[CAPACITY]],'OUTCOME MODEL'!$U$9:$Z$9))</f>
        <v>19.687356733831379</v>
      </c>
      <c r="E168" s="58">
        <f t="array" ref="E168">+INDEX('OUTCOME MODEL'!$C$10:$H$87,MATCH(Table1[[#This Row],[DRIVERS]]&amp;Table1[[#This Row],[DEMAND]],'OUTCOME MODEL'!$A$10:$A$87&amp;'OUTCOME MODEL'!$B$10:$B$87,0),MATCH(Table1[[#This Row],[CAPACITY]],'OUTCOME MODEL'!$C$9:$H$9))</f>
        <v>1.1249918133617931</v>
      </c>
      <c r="F168" s="58">
        <f t="array" ref="F168">+INDEX('OUTCOME MODEL'!$I$10:$N$87,MATCH(Table1[[#This Row],[DRIVERS]]&amp;Table1[[#This Row],[DEMAND]],'OUTCOME MODEL'!$A$10:$A$87&amp;'OUTCOME MODEL'!$B$10:$B$87,0),MATCH(Table1[[#This Row],[CAPACITY]],'OUTCOME MODEL'!$I$9:$N$9))</f>
        <v>0.23699999999999999</v>
      </c>
      <c r="G168" s="60">
        <f t="array" ref="G168">+INDEX('OUTCOME MODEL'!$O$10:$T$87,MATCH(Table1[[#This Row],[DRIVERS]]&amp;Table1[[#This Row],[DEMAND]],'OUTCOME MODEL'!$A$10:$A$87&amp;'OUTCOME MODEL'!$B$10:$B$87,0),MATCH(Table1[[#This Row],[CAPACITY]],'OUTCOME MODEL'!$O$9:$T$9))</f>
        <v>2.2499836267235862</v>
      </c>
    </row>
    <row r="169" spans="1:7" x14ac:dyDescent="0.35">
      <c r="A169" s="45">
        <v>1</v>
      </c>
      <c r="B169" s="22">
        <v>9</v>
      </c>
      <c r="C169">
        <v>2</v>
      </c>
      <c r="D169" s="46">
        <f t="array" ref="D169">+INDEX('OUTCOME MODEL'!$U$10:$Z$87,MATCH(Table1[[#This Row],[DRIVERS]]&amp;Table1[[#This Row],[DEMAND]],'OUTCOME MODEL'!$A$10:$A$87&amp;'OUTCOME MODEL'!$B$10:$B$87,0),MATCH(Table1[[#This Row],[CAPACITY]],'OUTCOME MODEL'!$U$9:$Z$9))</f>
        <v>19.943652817541636</v>
      </c>
      <c r="E169" s="58">
        <f t="array" ref="E169">+INDEX('OUTCOME MODEL'!$C$10:$H$87,MATCH(Table1[[#This Row],[DRIVERS]]&amp;Table1[[#This Row],[DEMAND]],'OUTCOME MODEL'!$A$10:$A$87&amp;'OUTCOME MODEL'!$B$10:$B$87,0),MATCH(Table1[[#This Row],[CAPACITY]],'OUTCOME MODEL'!$C$9:$H$9))</f>
        <v>1.139637303859522</v>
      </c>
      <c r="F169" s="58">
        <f t="array" ref="F169">+INDEX('OUTCOME MODEL'!$I$10:$N$87,MATCH(Table1[[#This Row],[DRIVERS]]&amp;Table1[[#This Row],[DEMAND]],'OUTCOME MODEL'!$A$10:$A$87&amp;'OUTCOME MODEL'!$B$10:$B$87,0),MATCH(Table1[[#This Row],[CAPACITY]],'OUTCOME MODEL'!$I$9:$N$9))</f>
        <v>0.19800000000000001</v>
      </c>
      <c r="G169" s="60">
        <f t="array" ref="G169">+INDEX('OUTCOME MODEL'!$O$10:$T$87,MATCH(Table1[[#This Row],[DRIVERS]]&amp;Table1[[#This Row],[DEMAND]],'OUTCOME MODEL'!$A$10:$A$87&amp;'OUTCOME MODEL'!$B$10:$B$87,0),MATCH(Table1[[#This Row],[CAPACITY]],'OUTCOME MODEL'!$O$9:$T$9))</f>
        <v>2.279274607719044</v>
      </c>
    </row>
    <row r="170" spans="1:7" x14ac:dyDescent="0.35">
      <c r="A170" s="45">
        <v>1</v>
      </c>
      <c r="B170" s="22">
        <v>10</v>
      </c>
      <c r="C170">
        <v>2</v>
      </c>
      <c r="D170" s="46">
        <f t="array" ref="D170">+INDEX('OUTCOME MODEL'!$U$10:$Z$87,MATCH(Table1[[#This Row],[DRIVERS]]&amp;Table1[[#This Row],[DEMAND]],'OUTCOME MODEL'!$A$10:$A$87&amp;'OUTCOME MODEL'!$B$10:$B$87,0),MATCH(Table1[[#This Row],[CAPACITY]],'OUTCOME MODEL'!$U$9:$Z$9))</f>
        <v>20.085815348216315</v>
      </c>
      <c r="E170" s="58">
        <f t="array" ref="E170">+INDEX('OUTCOME MODEL'!$C$10:$H$87,MATCH(Table1[[#This Row],[DRIVERS]]&amp;Table1[[#This Row],[DEMAND]],'OUTCOME MODEL'!$A$10:$A$87&amp;'OUTCOME MODEL'!$B$10:$B$87,0),MATCH(Table1[[#This Row],[CAPACITY]],'OUTCOME MODEL'!$C$9:$H$9))</f>
        <v>1.1477608770409322</v>
      </c>
      <c r="F170" s="58">
        <f t="array" ref="F170">+INDEX('OUTCOME MODEL'!$I$10:$N$87,MATCH(Table1[[#This Row],[DRIVERS]]&amp;Table1[[#This Row],[DEMAND]],'OUTCOME MODEL'!$A$10:$A$87&amp;'OUTCOME MODEL'!$B$10:$B$87,0),MATCH(Table1[[#This Row],[CAPACITY]],'OUTCOME MODEL'!$I$9:$N$9))</f>
        <v>0.219</v>
      </c>
      <c r="G170" s="60">
        <f t="array" ref="G170">+INDEX('OUTCOME MODEL'!$O$10:$T$87,MATCH(Table1[[#This Row],[DRIVERS]]&amp;Table1[[#This Row],[DEMAND]],'OUTCOME MODEL'!$A$10:$A$87&amp;'OUTCOME MODEL'!$B$10:$B$87,0),MATCH(Table1[[#This Row],[CAPACITY]],'OUTCOME MODEL'!$O$9:$T$9))</f>
        <v>2.2955217540818644</v>
      </c>
    </row>
    <row r="171" spans="1:7" x14ac:dyDescent="0.35">
      <c r="A171" s="19">
        <v>1</v>
      </c>
      <c r="B171" s="20">
        <v>11</v>
      </c>
      <c r="C171">
        <v>2</v>
      </c>
      <c r="D171" s="46">
        <f t="array" ref="D171">+INDEX('OUTCOME MODEL'!$U$10:$Z$87,MATCH(Table1[[#This Row],[DRIVERS]]&amp;Table1[[#This Row],[DEMAND]],'OUTCOME MODEL'!$A$10:$A$87&amp;'OUTCOME MODEL'!$B$10:$B$87,0),MATCH(Table1[[#This Row],[CAPACITY]],'OUTCOME MODEL'!$U$9:$Z$9))</f>
        <v>20.435182486184136</v>
      </c>
      <c r="E171" s="58">
        <f t="array" ref="E171">+INDEX('OUTCOME MODEL'!$C$10:$H$87,MATCH(Table1[[#This Row],[DRIVERS]]&amp;Table1[[#This Row],[DEMAND]],'OUTCOME MODEL'!$A$10:$A$87&amp;'OUTCOME MODEL'!$B$10:$B$87,0),MATCH(Table1[[#This Row],[CAPACITY]],'OUTCOME MODEL'!$C$9:$H$9))</f>
        <v>1.1677247134962363</v>
      </c>
      <c r="F171" s="58">
        <f t="array" ref="F171">+INDEX('OUTCOME MODEL'!$I$10:$N$87,MATCH(Table1[[#This Row],[DRIVERS]]&amp;Table1[[#This Row],[DEMAND]],'OUTCOME MODEL'!$A$10:$A$87&amp;'OUTCOME MODEL'!$B$10:$B$87,0),MATCH(Table1[[#This Row],[CAPACITY]],'OUTCOME MODEL'!$I$9:$N$9))</f>
        <v>0.2</v>
      </c>
      <c r="G171" s="60">
        <f t="array" ref="G171">+INDEX('OUTCOME MODEL'!$O$10:$T$87,MATCH(Table1[[#This Row],[DRIVERS]]&amp;Table1[[#This Row],[DEMAND]],'OUTCOME MODEL'!$A$10:$A$87&amp;'OUTCOME MODEL'!$B$10:$B$87,0),MATCH(Table1[[#This Row],[CAPACITY]],'OUTCOME MODEL'!$O$9:$T$9))</f>
        <v>2.3354494269924726</v>
      </c>
    </row>
    <row r="172" spans="1:7" x14ac:dyDescent="0.35">
      <c r="A172" s="45">
        <v>1</v>
      </c>
      <c r="B172" s="22">
        <v>12</v>
      </c>
      <c r="C172">
        <v>2</v>
      </c>
      <c r="D172" s="46">
        <f t="array" ref="D172">+INDEX('OUTCOME MODEL'!$U$10:$Z$87,MATCH(Table1[[#This Row],[DRIVERS]]&amp;Table1[[#This Row],[DEMAND]],'OUTCOME MODEL'!$A$10:$A$87&amp;'OUTCOME MODEL'!$B$10:$B$87,0),MATCH(Table1[[#This Row],[CAPACITY]],'OUTCOME MODEL'!$U$9:$Z$9))</f>
        <v>20.557454705948853</v>
      </c>
      <c r="E172" s="58">
        <f t="array" ref="E172">+INDEX('OUTCOME MODEL'!$C$10:$H$87,MATCH(Table1[[#This Row],[DRIVERS]]&amp;Table1[[#This Row],[DEMAND]],'OUTCOME MODEL'!$A$10:$A$87&amp;'OUTCOME MODEL'!$B$10:$B$87,0),MATCH(Table1[[#This Row],[CAPACITY]],'OUTCOME MODEL'!$C$9:$H$9))</f>
        <v>1.1747116974827916</v>
      </c>
      <c r="F172" s="58">
        <f t="array" ref="F172">+INDEX('OUTCOME MODEL'!$I$10:$N$87,MATCH(Table1[[#This Row],[DRIVERS]]&amp;Table1[[#This Row],[DEMAND]],'OUTCOME MODEL'!$A$10:$A$87&amp;'OUTCOME MODEL'!$B$10:$B$87,0),MATCH(Table1[[#This Row],[CAPACITY]],'OUTCOME MODEL'!$I$9:$N$9))</f>
        <v>0.161</v>
      </c>
      <c r="G172" s="60">
        <f t="array" ref="G172">+INDEX('OUTCOME MODEL'!$O$10:$T$87,MATCH(Table1[[#This Row],[DRIVERS]]&amp;Table1[[#This Row],[DEMAND]],'OUTCOME MODEL'!$A$10:$A$87&amp;'OUTCOME MODEL'!$B$10:$B$87,0),MATCH(Table1[[#This Row],[CAPACITY]],'OUTCOME MODEL'!$O$9:$T$9))</f>
        <v>2.3494233949655832</v>
      </c>
    </row>
    <row r="173" spans="1:7" x14ac:dyDescent="0.35">
      <c r="A173" s="48">
        <v>2</v>
      </c>
      <c r="B173" s="49">
        <v>0</v>
      </c>
      <c r="C173">
        <v>2</v>
      </c>
      <c r="D173" s="46">
        <f t="array" ref="D173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73" s="58">
        <f t="array" ref="E173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73" s="58">
        <f t="array" ref="F17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73" s="60">
        <f t="array" ref="G173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74" spans="1:7" x14ac:dyDescent="0.35">
      <c r="A174" s="45">
        <v>2</v>
      </c>
      <c r="B174" s="22">
        <v>1</v>
      </c>
      <c r="C174">
        <v>2</v>
      </c>
      <c r="D174" s="46">
        <f t="array" ref="D174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74" s="58">
        <f t="array" ref="E174">+INDEX('OUTCOME MODEL'!$C$10:$H$87,MATCH(Table1[[#This Row],[DRIVERS]]&amp;Table1[[#This Row],[DEMAND]],'OUTCOME MODEL'!$A$10:$A$87&amp;'OUTCOME MODEL'!$B$10:$B$87,0),MATCH(Table1[[#This Row],[CAPACITY]],'OUTCOME MODEL'!$C$9:$H$9))</f>
        <v>0.29591672471121572</v>
      </c>
      <c r="F174" s="58">
        <f t="array" ref="F174">+INDEX('OUTCOME MODEL'!$I$10:$N$87,MATCH(Table1[[#This Row],[DRIVERS]]&amp;Table1[[#This Row],[DEMAND]],'OUTCOME MODEL'!$A$10:$A$87&amp;'OUTCOME MODEL'!$B$10:$B$87,0),MATCH(Table1[[#This Row],[CAPACITY]],'OUTCOME MODEL'!$I$9:$N$9))</f>
        <v>0.93799999999999994</v>
      </c>
      <c r="G174" s="60">
        <f t="array" ref="G174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175" spans="1:7" x14ac:dyDescent="0.35">
      <c r="A175" s="45">
        <v>2</v>
      </c>
      <c r="B175" s="22">
        <v>2</v>
      </c>
      <c r="C175">
        <v>2</v>
      </c>
      <c r="D175" s="46">
        <f t="array" ref="D175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75" s="58">
        <f t="array" ref="E175">+INDEX('OUTCOME MODEL'!$C$10:$H$87,MATCH(Table1[[#This Row],[DRIVERS]]&amp;Table1[[#This Row],[DEMAND]],'OUTCOME MODEL'!$A$10:$A$87&amp;'OUTCOME MODEL'!$B$10:$B$87,0),MATCH(Table1[[#This Row],[CAPACITY]],'OUTCOME MODEL'!$C$9:$H$9))</f>
        <v>0.53499459027304996</v>
      </c>
      <c r="F175" s="58">
        <f t="array" ref="F175">+INDEX('OUTCOME MODEL'!$I$10:$N$87,MATCH(Table1[[#This Row],[DRIVERS]]&amp;Table1[[#This Row],[DEMAND]],'OUTCOME MODEL'!$A$10:$A$87&amp;'OUTCOME MODEL'!$B$10:$B$87,0),MATCH(Table1[[#This Row],[CAPACITY]],'OUTCOME MODEL'!$I$9:$N$9))</f>
        <v>0.85699999999999998</v>
      </c>
      <c r="G175" s="60">
        <f t="array" ref="G17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76" spans="1:7" x14ac:dyDescent="0.35">
      <c r="A176" s="45">
        <v>2</v>
      </c>
      <c r="B176" s="22">
        <v>3</v>
      </c>
      <c r="C176">
        <v>2</v>
      </c>
      <c r="D176" s="46">
        <f t="array" ref="D176">+INDEX('OUTCOME MODEL'!$U$10:$Z$87,MATCH(Table1[[#This Row],[DRIVERS]]&amp;Table1[[#This Row],[DEMAND]],'OUTCOME MODEL'!$A$10:$A$87&amp;'OUTCOME MODEL'!$B$10:$B$87,0),MATCH(Table1[[#This Row],[CAPACITY]],'OUTCOME MODEL'!$U$9:$Z$9))</f>
        <v>24.615385788967952</v>
      </c>
      <c r="E176" s="58">
        <f t="array" ref="E176">+INDEX('OUTCOME MODEL'!$C$10:$H$87,MATCH(Table1[[#This Row],[DRIVERS]]&amp;Table1[[#This Row],[DEMAND]],'OUTCOME MODEL'!$A$10:$A$87&amp;'OUTCOME MODEL'!$B$10:$B$87,0),MATCH(Table1[[#This Row],[CAPACITY]],'OUTCOME MODEL'!$C$9:$H$9))</f>
        <v>0.70329673682765581</v>
      </c>
      <c r="F176" s="58">
        <f t="array" ref="F176">+INDEX('OUTCOME MODEL'!$I$10:$N$87,MATCH(Table1[[#This Row],[DRIVERS]]&amp;Table1[[#This Row],[DEMAND]],'OUTCOME MODEL'!$A$10:$A$87&amp;'OUTCOME MODEL'!$B$10:$B$87,0),MATCH(Table1[[#This Row],[CAPACITY]],'OUTCOME MODEL'!$I$9:$N$9))</f>
        <v>0.78900000000000003</v>
      </c>
      <c r="G176" s="60">
        <f t="array" ref="G176">+INDEX('OUTCOME MODEL'!$O$10:$T$87,MATCH(Table1[[#This Row],[DRIVERS]]&amp;Table1[[#This Row],[DEMAND]],'OUTCOME MODEL'!$A$10:$A$87&amp;'OUTCOME MODEL'!$B$10:$B$87,0),MATCH(Table1[[#This Row],[CAPACITY]],'OUTCOME MODEL'!$O$9:$T$9))</f>
        <v>1.4065934736553116</v>
      </c>
    </row>
    <row r="177" spans="1:7" x14ac:dyDescent="0.35">
      <c r="A177" s="45">
        <v>2</v>
      </c>
      <c r="B177" s="22">
        <v>4</v>
      </c>
      <c r="C177">
        <v>2</v>
      </c>
      <c r="D177" s="46">
        <f t="array" ref="D177">+INDEX('OUTCOME MODEL'!$U$10:$Z$87,MATCH(Table1[[#This Row],[DRIVERS]]&amp;Table1[[#This Row],[DEMAND]],'OUTCOME MODEL'!$A$10:$A$87&amp;'OUTCOME MODEL'!$B$10:$B$87,0),MATCH(Table1[[#This Row],[CAPACITY]],'OUTCOME MODEL'!$U$9:$Z$9))</f>
        <v>29.01401680183314</v>
      </c>
      <c r="E177" s="58">
        <f t="array" ref="E177">+INDEX('OUTCOME MODEL'!$C$10:$H$87,MATCH(Table1[[#This Row],[DRIVERS]]&amp;Table1[[#This Row],[DEMAND]],'OUTCOME MODEL'!$A$10:$A$87&amp;'OUTCOME MODEL'!$B$10:$B$87,0),MATCH(Table1[[#This Row],[CAPACITY]],'OUTCOME MODEL'!$C$9:$H$9))</f>
        <v>0.82897190862380399</v>
      </c>
      <c r="F177" s="58">
        <f t="array" ref="F177">+INDEX('OUTCOME MODEL'!$I$10:$N$87,MATCH(Table1[[#This Row],[DRIVERS]]&amp;Table1[[#This Row],[DEMAND]],'OUTCOME MODEL'!$A$10:$A$87&amp;'OUTCOME MODEL'!$B$10:$B$87,0),MATCH(Table1[[#This Row],[CAPACITY]],'OUTCOME MODEL'!$I$9:$N$9))</f>
        <v>0.68799999999999994</v>
      </c>
      <c r="G177" s="60">
        <f t="array" ref="G177">+INDEX('OUTCOME MODEL'!$O$10:$T$87,MATCH(Table1[[#This Row],[DRIVERS]]&amp;Table1[[#This Row],[DEMAND]],'OUTCOME MODEL'!$A$10:$A$87&amp;'OUTCOME MODEL'!$B$10:$B$87,0),MATCH(Table1[[#This Row],[CAPACITY]],'OUTCOME MODEL'!$O$9:$T$9))</f>
        <v>1.657943817247608</v>
      </c>
    </row>
    <row r="178" spans="1:7" x14ac:dyDescent="0.35">
      <c r="A178" s="45">
        <v>2</v>
      </c>
      <c r="B178" s="22">
        <v>5</v>
      </c>
      <c r="C178">
        <v>2</v>
      </c>
      <c r="D178" s="46">
        <f t="array" ref="D178">+INDEX('OUTCOME MODEL'!$U$10:$Z$87,MATCH(Table1[[#This Row],[DRIVERS]]&amp;Table1[[#This Row],[DEMAND]],'OUTCOME MODEL'!$A$10:$A$87&amp;'OUTCOME MODEL'!$B$10:$B$87,0),MATCH(Table1[[#This Row],[CAPACITY]],'OUTCOME MODEL'!$U$9:$Z$9))</f>
        <v>31.791179613619654</v>
      </c>
      <c r="E178" s="58">
        <f t="array" ref="E178">+INDEX('OUTCOME MODEL'!$C$10:$H$87,MATCH(Table1[[#This Row],[DRIVERS]]&amp;Table1[[#This Row],[DEMAND]],'OUTCOME MODEL'!$A$10:$A$87&amp;'OUTCOME MODEL'!$B$10:$B$87,0),MATCH(Table1[[#This Row],[CAPACITY]],'OUTCOME MODEL'!$C$9:$H$9))</f>
        <v>0.90831941753199019</v>
      </c>
      <c r="F178" s="58">
        <f t="array" ref="F178">+INDEX('OUTCOME MODEL'!$I$10:$N$87,MATCH(Table1[[#This Row],[DRIVERS]]&amp;Table1[[#This Row],[DEMAND]],'OUTCOME MODEL'!$A$10:$A$87&amp;'OUTCOME MODEL'!$B$10:$B$87,0),MATCH(Table1[[#This Row],[CAPACITY]],'OUTCOME MODEL'!$I$9:$N$9))</f>
        <v>0.63600000000000001</v>
      </c>
      <c r="G178" s="60">
        <f t="array" ref="G178">+INDEX('OUTCOME MODEL'!$O$10:$T$87,MATCH(Table1[[#This Row],[DRIVERS]]&amp;Table1[[#This Row],[DEMAND]],'OUTCOME MODEL'!$A$10:$A$87&amp;'OUTCOME MODEL'!$B$10:$B$87,0),MATCH(Table1[[#This Row],[CAPACITY]],'OUTCOME MODEL'!$O$9:$T$9))</f>
        <v>1.8166388350639804</v>
      </c>
    </row>
    <row r="179" spans="1:7" x14ac:dyDescent="0.35">
      <c r="A179" s="45">
        <v>2</v>
      </c>
      <c r="B179" s="22">
        <v>6</v>
      </c>
      <c r="C179">
        <v>2</v>
      </c>
      <c r="D179" s="46">
        <f t="array" ref="D179">+INDEX('OUTCOME MODEL'!$U$10:$Z$87,MATCH(Table1[[#This Row],[DRIVERS]]&amp;Table1[[#This Row],[DEMAND]],'OUTCOME MODEL'!$A$10:$A$87&amp;'OUTCOME MODEL'!$B$10:$B$87,0),MATCH(Table1[[#This Row],[CAPACITY]],'OUTCOME MODEL'!$U$9:$Z$9))</f>
        <v>33.907866540602626</v>
      </c>
      <c r="E179" s="58">
        <f t="array" ref="E179">+INDEX('OUTCOME MODEL'!$C$10:$H$87,MATCH(Table1[[#This Row],[DRIVERS]]&amp;Table1[[#This Row],[DEMAND]],'OUTCOME MODEL'!$A$10:$A$87&amp;'OUTCOME MODEL'!$B$10:$B$87,0),MATCH(Table1[[#This Row],[CAPACITY]],'OUTCOME MODEL'!$C$9:$H$9))</f>
        <v>0.96879618687436064</v>
      </c>
      <c r="F179" s="58">
        <f t="array" ref="F179">+INDEX('OUTCOME MODEL'!$I$10:$N$87,MATCH(Table1[[#This Row],[DRIVERS]]&amp;Table1[[#This Row],[DEMAND]],'OUTCOME MODEL'!$A$10:$A$87&amp;'OUTCOME MODEL'!$B$10:$B$87,0),MATCH(Table1[[#This Row],[CAPACITY]],'OUTCOME MODEL'!$I$9:$N$9))</f>
        <v>0.55900000000000005</v>
      </c>
      <c r="G179" s="60">
        <f t="array" ref="G179">+INDEX('OUTCOME MODEL'!$O$10:$T$87,MATCH(Table1[[#This Row],[DRIVERS]]&amp;Table1[[#This Row],[DEMAND]],'OUTCOME MODEL'!$A$10:$A$87&amp;'OUTCOME MODEL'!$B$10:$B$87,0),MATCH(Table1[[#This Row],[CAPACITY]],'OUTCOME MODEL'!$O$9:$T$9))</f>
        <v>1.9375923737487213</v>
      </c>
    </row>
    <row r="180" spans="1:7" x14ac:dyDescent="0.35">
      <c r="A180" s="45">
        <v>2</v>
      </c>
      <c r="B180" s="22">
        <v>7</v>
      </c>
      <c r="C180">
        <v>2</v>
      </c>
      <c r="D180" s="46">
        <f t="array" ref="D180">+INDEX('OUTCOME MODEL'!$U$10:$Z$87,MATCH(Table1[[#This Row],[DRIVERS]]&amp;Table1[[#This Row],[DEMAND]],'OUTCOME MODEL'!$A$10:$A$87&amp;'OUTCOME MODEL'!$B$10:$B$87,0),MATCH(Table1[[#This Row],[CAPACITY]],'OUTCOME MODEL'!$U$9:$Z$9))</f>
        <v>35.323230431181088</v>
      </c>
      <c r="E180" s="58">
        <f t="array" ref="E180">+INDEX('OUTCOME MODEL'!$C$10:$H$87,MATCH(Table1[[#This Row],[DRIVERS]]&amp;Table1[[#This Row],[DEMAND]],'OUTCOME MODEL'!$A$10:$A$87&amp;'OUTCOME MODEL'!$B$10:$B$87,0),MATCH(Table1[[#This Row],[CAPACITY]],'OUTCOME MODEL'!$C$9:$H$9))</f>
        <v>1.0092351551766026</v>
      </c>
      <c r="F180" s="58">
        <f t="array" ref="F180">+INDEX('OUTCOME MODEL'!$I$10:$N$87,MATCH(Table1[[#This Row],[DRIVERS]]&amp;Table1[[#This Row],[DEMAND]],'OUTCOME MODEL'!$A$10:$A$87&amp;'OUTCOME MODEL'!$B$10:$B$87,0),MATCH(Table1[[#This Row],[CAPACITY]],'OUTCOME MODEL'!$I$9:$N$9))</f>
        <v>0.49</v>
      </c>
      <c r="G180" s="60">
        <f t="array" ref="G180">+INDEX('OUTCOME MODEL'!$O$10:$T$87,MATCH(Table1[[#This Row],[DRIVERS]]&amp;Table1[[#This Row],[DEMAND]],'OUTCOME MODEL'!$A$10:$A$87&amp;'OUTCOME MODEL'!$B$10:$B$87,0),MATCH(Table1[[#This Row],[CAPACITY]],'OUTCOME MODEL'!$O$9:$T$9))</f>
        <v>2.0184703103532051</v>
      </c>
    </row>
    <row r="181" spans="1:7" x14ac:dyDescent="0.35">
      <c r="A181" s="45">
        <v>2</v>
      </c>
      <c r="B181" s="22">
        <v>8</v>
      </c>
      <c r="C181">
        <v>2</v>
      </c>
      <c r="D181" s="46">
        <f t="array" ref="D181">+INDEX('OUTCOME MODEL'!$U$10:$Z$87,MATCH(Table1[[#This Row],[DRIVERS]]&amp;Table1[[#This Row],[DEMAND]],'OUTCOME MODEL'!$A$10:$A$87&amp;'OUTCOME MODEL'!$B$10:$B$87,0),MATCH(Table1[[#This Row],[CAPACITY]],'OUTCOME MODEL'!$U$9:$Z$9))</f>
        <v>36.253053389434143</v>
      </c>
      <c r="E181" s="58">
        <f t="array" ref="E181">+INDEX('OUTCOME MODEL'!$C$10:$H$87,MATCH(Table1[[#This Row],[DRIVERS]]&amp;Table1[[#This Row],[DEMAND]],'OUTCOME MODEL'!$A$10:$A$87&amp;'OUTCOME MODEL'!$B$10:$B$87,0),MATCH(Table1[[#This Row],[CAPACITY]],'OUTCOME MODEL'!$C$9:$H$9))</f>
        <v>1.035801525412404</v>
      </c>
      <c r="F181" s="58">
        <f t="array" ref="F181">+INDEX('OUTCOME MODEL'!$I$10:$N$87,MATCH(Table1[[#This Row],[DRIVERS]]&amp;Table1[[#This Row],[DEMAND]],'OUTCOME MODEL'!$A$10:$A$87&amp;'OUTCOME MODEL'!$B$10:$B$87,0),MATCH(Table1[[#This Row],[CAPACITY]],'OUTCOME MODEL'!$I$9:$N$9))</f>
        <v>0.47</v>
      </c>
      <c r="G181" s="60">
        <f t="array" ref="G181">+INDEX('OUTCOME MODEL'!$O$10:$T$87,MATCH(Table1[[#This Row],[DRIVERS]]&amp;Table1[[#This Row],[DEMAND]],'OUTCOME MODEL'!$A$10:$A$87&amp;'OUTCOME MODEL'!$B$10:$B$87,0),MATCH(Table1[[#This Row],[CAPACITY]],'OUTCOME MODEL'!$O$9:$T$9))</f>
        <v>2.071603050824808</v>
      </c>
    </row>
    <row r="182" spans="1:7" x14ac:dyDescent="0.35">
      <c r="A182" s="45">
        <v>2</v>
      </c>
      <c r="B182" s="22">
        <v>9</v>
      </c>
      <c r="C182">
        <v>2</v>
      </c>
      <c r="D182" s="46">
        <f t="array" ref="D182">+INDEX('OUTCOME MODEL'!$U$10:$Z$87,MATCH(Table1[[#This Row],[DRIVERS]]&amp;Table1[[#This Row],[DEMAND]],'OUTCOME MODEL'!$A$10:$A$87&amp;'OUTCOME MODEL'!$B$10:$B$87,0),MATCH(Table1[[#This Row],[CAPACITY]],'OUTCOME MODEL'!$U$9:$Z$9))</f>
        <v>37.146510417460192</v>
      </c>
      <c r="E182" s="58">
        <f t="array" ref="E182">+INDEX('OUTCOME MODEL'!$C$10:$H$87,MATCH(Table1[[#This Row],[DRIVERS]]&amp;Table1[[#This Row],[DEMAND]],'OUTCOME MODEL'!$A$10:$A$87&amp;'OUTCOME MODEL'!$B$10:$B$87,0),MATCH(Table1[[#This Row],[CAPACITY]],'OUTCOME MODEL'!$C$9:$H$9))</f>
        <v>1.0613288690702913</v>
      </c>
      <c r="F182" s="58">
        <f t="array" ref="F182">+INDEX('OUTCOME MODEL'!$I$10:$N$87,MATCH(Table1[[#This Row],[DRIVERS]]&amp;Table1[[#This Row],[DEMAND]],'OUTCOME MODEL'!$A$10:$A$87&amp;'OUTCOME MODEL'!$B$10:$B$87,0),MATCH(Table1[[#This Row],[CAPACITY]],'OUTCOME MODEL'!$I$9:$N$9))</f>
        <v>0.438</v>
      </c>
      <c r="G182" s="60">
        <f t="array" ref="G182">+INDEX('OUTCOME MODEL'!$O$10:$T$87,MATCH(Table1[[#This Row],[DRIVERS]]&amp;Table1[[#This Row],[DEMAND]],'OUTCOME MODEL'!$A$10:$A$87&amp;'OUTCOME MODEL'!$B$10:$B$87,0),MATCH(Table1[[#This Row],[CAPACITY]],'OUTCOME MODEL'!$O$9:$T$9))</f>
        <v>2.1226577381405827</v>
      </c>
    </row>
    <row r="183" spans="1:7" x14ac:dyDescent="0.35">
      <c r="A183" s="19">
        <v>2</v>
      </c>
      <c r="B183" s="20">
        <v>10</v>
      </c>
      <c r="C183">
        <v>2</v>
      </c>
      <c r="D183" s="46">
        <f t="array" ref="D183">+INDEX('OUTCOME MODEL'!$U$10:$Z$87,MATCH(Table1[[#This Row],[DRIVERS]]&amp;Table1[[#This Row],[DEMAND]],'OUTCOME MODEL'!$A$10:$A$87&amp;'OUTCOME MODEL'!$B$10:$B$87,0),MATCH(Table1[[#This Row],[CAPACITY]],'OUTCOME MODEL'!$U$9:$Z$9))</f>
        <v>37.60819847700656</v>
      </c>
      <c r="E183" s="58">
        <f t="array" ref="E183">+INDEX('OUTCOME MODEL'!$C$10:$H$87,MATCH(Table1[[#This Row],[DRIVERS]]&amp;Table1[[#This Row],[DEMAND]],'OUTCOME MODEL'!$A$10:$A$87&amp;'OUTCOME MODEL'!$B$10:$B$87,0),MATCH(Table1[[#This Row],[CAPACITY]],'OUTCOME MODEL'!$C$9:$H$9))</f>
        <v>1.0745199564859018</v>
      </c>
      <c r="F183" s="58">
        <f t="array" ref="F183">+INDEX('OUTCOME MODEL'!$I$10:$N$87,MATCH(Table1[[#This Row],[DRIVERS]]&amp;Table1[[#This Row],[DEMAND]],'OUTCOME MODEL'!$A$10:$A$87&amp;'OUTCOME MODEL'!$B$10:$B$87,0),MATCH(Table1[[#This Row],[CAPACITY]],'OUTCOME MODEL'!$I$9:$N$9))</f>
        <v>0.41</v>
      </c>
      <c r="G183" s="60">
        <f t="array" ref="G183">+INDEX('OUTCOME MODEL'!$O$10:$T$87,MATCH(Table1[[#This Row],[DRIVERS]]&amp;Table1[[#This Row],[DEMAND]],'OUTCOME MODEL'!$A$10:$A$87&amp;'OUTCOME MODEL'!$B$10:$B$87,0),MATCH(Table1[[#This Row],[CAPACITY]],'OUTCOME MODEL'!$O$9:$T$9))</f>
        <v>2.1490399129718036</v>
      </c>
    </row>
    <row r="184" spans="1:7" x14ac:dyDescent="0.35">
      <c r="A184" s="45">
        <v>2</v>
      </c>
      <c r="B184" s="22">
        <v>11</v>
      </c>
      <c r="C184">
        <v>2</v>
      </c>
      <c r="D184" s="46">
        <f t="array" ref="D184">+INDEX('OUTCOME MODEL'!$U$10:$Z$87,MATCH(Table1[[#This Row],[DRIVERS]]&amp;Table1[[#This Row],[DEMAND]],'OUTCOME MODEL'!$A$10:$A$87&amp;'OUTCOME MODEL'!$B$10:$B$87,0),MATCH(Table1[[#This Row],[CAPACITY]],'OUTCOME MODEL'!$U$9:$Z$9))</f>
        <v>38.239455477004853</v>
      </c>
      <c r="E184" s="58">
        <f t="array" ref="E184">+INDEX('OUTCOME MODEL'!$C$10:$H$87,MATCH(Table1[[#This Row],[DRIVERS]]&amp;Table1[[#This Row],[DEMAND]],'OUTCOME MODEL'!$A$10:$A$87&amp;'OUTCOME MODEL'!$B$10:$B$87,0),MATCH(Table1[[#This Row],[CAPACITY]],'OUTCOME MODEL'!$C$9:$H$9))</f>
        <v>1.0925558707715672</v>
      </c>
      <c r="F184" s="58">
        <f t="array" ref="F184">+INDEX('OUTCOME MODEL'!$I$10:$N$87,MATCH(Table1[[#This Row],[DRIVERS]]&amp;Table1[[#This Row],[DEMAND]],'OUTCOME MODEL'!$A$10:$A$87&amp;'OUTCOME MODEL'!$B$10:$B$87,0),MATCH(Table1[[#This Row],[CAPACITY]],'OUTCOME MODEL'!$I$9:$N$9))</f>
        <v>0.376</v>
      </c>
      <c r="G184" s="60">
        <f t="array" ref="G184">+INDEX('OUTCOME MODEL'!$O$10:$T$87,MATCH(Table1[[#This Row],[DRIVERS]]&amp;Table1[[#This Row],[DEMAND]],'OUTCOME MODEL'!$A$10:$A$87&amp;'OUTCOME MODEL'!$B$10:$B$87,0),MATCH(Table1[[#This Row],[CAPACITY]],'OUTCOME MODEL'!$O$9:$T$9))</f>
        <v>2.1851117415431345</v>
      </c>
    </row>
    <row r="185" spans="1:7" x14ac:dyDescent="0.35">
      <c r="A185" s="45">
        <v>2</v>
      </c>
      <c r="B185" s="22">
        <v>12</v>
      </c>
      <c r="C185">
        <v>2</v>
      </c>
      <c r="D185" s="46">
        <f t="array" ref="D185">+INDEX('OUTCOME MODEL'!$U$10:$Z$87,MATCH(Table1[[#This Row],[DRIVERS]]&amp;Table1[[#This Row],[DEMAND]],'OUTCOME MODEL'!$A$10:$A$87&amp;'OUTCOME MODEL'!$B$10:$B$87,0),MATCH(Table1[[#This Row],[CAPACITY]],'OUTCOME MODEL'!$U$9:$Z$9))</f>
        <v>38.489319750480377</v>
      </c>
      <c r="E185" s="58">
        <f t="array" ref="E185">+INDEX('OUTCOME MODEL'!$C$10:$H$87,MATCH(Table1[[#This Row],[DRIVERS]]&amp;Table1[[#This Row],[DEMAND]],'OUTCOME MODEL'!$A$10:$A$87&amp;'OUTCOME MODEL'!$B$10:$B$87,0),MATCH(Table1[[#This Row],[CAPACITY]],'OUTCOME MODEL'!$C$9:$H$9))</f>
        <v>1.0996948500137251</v>
      </c>
      <c r="F185" s="58">
        <f t="array" ref="F185">+INDEX('OUTCOME MODEL'!$I$10:$N$87,MATCH(Table1[[#This Row],[DRIVERS]]&amp;Table1[[#This Row],[DEMAND]],'OUTCOME MODEL'!$A$10:$A$87&amp;'OUTCOME MODEL'!$B$10:$B$87,0),MATCH(Table1[[#This Row],[CAPACITY]],'OUTCOME MODEL'!$I$9:$N$9))</f>
        <v>0.29899999999999999</v>
      </c>
      <c r="G185" s="60">
        <f t="array" ref="G185">+INDEX('OUTCOME MODEL'!$O$10:$T$87,MATCH(Table1[[#This Row],[DRIVERS]]&amp;Table1[[#This Row],[DEMAND]],'OUTCOME MODEL'!$A$10:$A$87&amp;'OUTCOME MODEL'!$B$10:$B$87,0),MATCH(Table1[[#This Row],[CAPACITY]],'OUTCOME MODEL'!$O$9:$T$9))</f>
        <v>2.1993897000274503</v>
      </c>
    </row>
    <row r="186" spans="1:7" x14ac:dyDescent="0.35">
      <c r="A186" s="68">
        <v>3</v>
      </c>
      <c r="B186" s="49">
        <v>0</v>
      </c>
      <c r="C186">
        <v>2</v>
      </c>
      <c r="D186" s="46">
        <f t="array" ref="D186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86" s="58">
        <f t="array" ref="E186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86" s="58">
        <f t="array" ref="F18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86" s="60">
        <f t="array" ref="G186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187" spans="1:7" x14ac:dyDescent="0.35">
      <c r="A187" s="45">
        <v>3</v>
      </c>
      <c r="B187" s="22">
        <v>1</v>
      </c>
      <c r="C187">
        <v>2</v>
      </c>
      <c r="D187" s="46">
        <f t="array" ref="D187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187" s="58">
        <f t="array" ref="E187">+INDEX('OUTCOME MODEL'!$C$10:$H$87,MATCH(Table1[[#This Row],[DRIVERS]]&amp;Table1[[#This Row],[DEMAND]],'OUTCOME MODEL'!$A$10:$A$87&amp;'OUTCOME MODEL'!$B$10:$B$87,0),MATCH(Table1[[#This Row],[CAPACITY]],'OUTCOME MODEL'!$C$9:$H$9))</f>
        <v>0.20299265503183814</v>
      </c>
      <c r="F187" s="58">
        <f t="array" ref="F187">+INDEX('OUTCOME MODEL'!$I$10:$N$87,MATCH(Table1[[#This Row],[DRIVERS]]&amp;Table1[[#This Row],[DEMAND]],'OUTCOME MODEL'!$A$10:$A$87&amp;'OUTCOME MODEL'!$B$10:$B$87,0),MATCH(Table1[[#This Row],[CAPACITY]],'OUTCOME MODEL'!$I$9:$N$9))</f>
        <v>0.97299999999999998</v>
      </c>
      <c r="G187" s="60">
        <f t="array" ref="G187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188" spans="1:7" x14ac:dyDescent="0.35">
      <c r="A188" s="45">
        <v>3</v>
      </c>
      <c r="B188" s="22">
        <v>2</v>
      </c>
      <c r="C188">
        <v>2</v>
      </c>
      <c r="D188" s="46">
        <f t="array" ref="D188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188" s="58">
        <f t="array" ref="E188">+INDEX('OUTCOME MODEL'!$C$10:$H$87,MATCH(Table1[[#This Row],[DRIVERS]]&amp;Table1[[#This Row],[DEMAND]],'OUTCOME MODEL'!$A$10:$A$87&amp;'OUTCOME MODEL'!$B$10:$B$87,0),MATCH(Table1[[#This Row],[CAPACITY]],'OUTCOME MODEL'!$C$9:$H$9))</f>
        <v>0.39022898986682791</v>
      </c>
      <c r="F188" s="58">
        <f t="array" ref="F188">+INDEX('OUTCOME MODEL'!$I$10:$N$87,MATCH(Table1[[#This Row],[DRIVERS]]&amp;Table1[[#This Row],[DEMAND]],'OUTCOME MODEL'!$A$10:$A$87&amp;'OUTCOME MODEL'!$B$10:$B$87,0),MATCH(Table1[[#This Row],[CAPACITY]],'OUTCOME MODEL'!$I$9:$N$9))</f>
        <v>0.95299999999999996</v>
      </c>
      <c r="G188" s="60">
        <f t="array" ref="G188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189" spans="1:7" x14ac:dyDescent="0.35">
      <c r="A189" s="45">
        <v>3</v>
      </c>
      <c r="B189" s="22">
        <v>3</v>
      </c>
      <c r="C189">
        <v>2</v>
      </c>
      <c r="D189" s="46">
        <f t="array" ref="D189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189" s="58">
        <f t="array" ref="E189">+INDEX('OUTCOME MODEL'!$C$10:$H$87,MATCH(Table1[[#This Row],[DRIVERS]]&amp;Table1[[#This Row],[DEMAND]],'OUTCOME MODEL'!$A$10:$A$87&amp;'OUTCOME MODEL'!$B$10:$B$87,0),MATCH(Table1[[#This Row],[CAPACITY]],'OUTCOME MODEL'!$C$9:$H$9))</f>
        <v>0.54512493477822443</v>
      </c>
      <c r="F189" s="58">
        <f t="array" ref="F189">+INDEX('OUTCOME MODEL'!$I$10:$N$87,MATCH(Table1[[#This Row],[DRIVERS]]&amp;Table1[[#This Row],[DEMAND]],'OUTCOME MODEL'!$A$10:$A$87&amp;'OUTCOME MODEL'!$B$10:$B$87,0),MATCH(Table1[[#This Row],[CAPACITY]],'OUTCOME MODEL'!$I$9:$N$9))</f>
        <v>0.90500000000000003</v>
      </c>
      <c r="G189" s="60">
        <f t="array" ref="G18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190" spans="1:7" x14ac:dyDescent="0.35">
      <c r="A190" s="45">
        <v>3</v>
      </c>
      <c r="B190" s="22">
        <v>4</v>
      </c>
      <c r="C190">
        <v>2</v>
      </c>
      <c r="D190" s="46">
        <f t="array" ref="D190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190" s="58">
        <f t="array" ref="E190">+INDEX('OUTCOME MODEL'!$C$10:$H$87,MATCH(Table1[[#This Row],[DRIVERS]]&amp;Table1[[#This Row],[DEMAND]],'OUTCOME MODEL'!$A$10:$A$87&amp;'OUTCOME MODEL'!$B$10:$B$87,0),MATCH(Table1[[#This Row],[CAPACITY]],'OUTCOME MODEL'!$C$9:$H$9))</f>
        <v>0.68395857811448935</v>
      </c>
      <c r="F190" s="58">
        <f t="array" ref="F190">+INDEX('OUTCOME MODEL'!$I$10:$N$87,MATCH(Table1[[#This Row],[DRIVERS]]&amp;Table1[[#This Row],[DEMAND]],'OUTCOME MODEL'!$A$10:$A$87&amp;'OUTCOME MODEL'!$B$10:$B$87,0),MATCH(Table1[[#This Row],[CAPACITY]],'OUTCOME MODEL'!$I$9:$N$9))</f>
        <v>0.86099999999999999</v>
      </c>
      <c r="G190" s="60">
        <f t="array" ref="G190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191" spans="1:7" x14ac:dyDescent="0.35">
      <c r="A191" s="45">
        <v>3</v>
      </c>
      <c r="B191" s="22">
        <v>5</v>
      </c>
      <c r="C191">
        <v>2</v>
      </c>
      <c r="D191" s="46">
        <f t="array" ref="D191">+INDEX('OUTCOME MODEL'!$U$10:$Z$87,MATCH(Table1[[#This Row],[DRIVERS]]&amp;Table1[[#This Row],[DEMAND]],'OUTCOME MODEL'!$A$10:$A$87&amp;'OUTCOME MODEL'!$B$10:$B$87,0),MATCH(Table1[[#This Row],[CAPACITY]],'OUTCOME MODEL'!$U$9:$Z$9))</f>
        <v>41.078343199430854</v>
      </c>
      <c r="E191" s="58">
        <f t="array" ref="E191">+INDEX('OUTCOME MODEL'!$C$10:$H$87,MATCH(Table1[[#This Row],[DRIVERS]]&amp;Table1[[#This Row],[DEMAND]],'OUTCOME MODEL'!$A$10:$A$87&amp;'OUTCOME MODEL'!$B$10:$B$87,0),MATCH(Table1[[#This Row],[CAPACITY]],'OUTCOME MODEL'!$C$9:$H$9))</f>
        <v>0.78244463237011164</v>
      </c>
      <c r="F191" s="58">
        <f t="array" ref="F191">+INDEX('OUTCOME MODEL'!$I$10:$N$87,MATCH(Table1[[#This Row],[DRIVERS]]&amp;Table1[[#This Row],[DEMAND]],'OUTCOME MODEL'!$A$10:$A$87&amp;'OUTCOME MODEL'!$B$10:$B$87,0),MATCH(Table1[[#This Row],[CAPACITY]],'OUTCOME MODEL'!$I$9:$N$9))</f>
        <v>0.81399999999999995</v>
      </c>
      <c r="G191" s="60">
        <f t="array" ref="G191">+INDEX('OUTCOME MODEL'!$O$10:$T$87,MATCH(Table1[[#This Row],[DRIVERS]]&amp;Table1[[#This Row],[DEMAND]],'OUTCOME MODEL'!$A$10:$A$87&amp;'OUTCOME MODEL'!$B$10:$B$87,0),MATCH(Table1[[#This Row],[CAPACITY]],'OUTCOME MODEL'!$O$9:$T$9))</f>
        <v>1.5648892647402233</v>
      </c>
    </row>
    <row r="192" spans="1:7" x14ac:dyDescent="0.35">
      <c r="A192" s="45">
        <v>3</v>
      </c>
      <c r="B192" s="22">
        <v>6</v>
      </c>
      <c r="C192">
        <v>2</v>
      </c>
      <c r="D192" s="46">
        <f t="array" ref="D192">+INDEX('OUTCOME MODEL'!$U$10:$Z$87,MATCH(Table1[[#This Row],[DRIVERS]]&amp;Table1[[#This Row],[DEMAND]],'OUTCOME MODEL'!$A$10:$A$87&amp;'OUTCOME MODEL'!$B$10:$B$87,0),MATCH(Table1[[#This Row],[CAPACITY]],'OUTCOME MODEL'!$U$9:$Z$9))</f>
        <v>44.890307459925019</v>
      </c>
      <c r="E192" s="58">
        <f t="array" ref="E192">+INDEX('OUTCOME MODEL'!$C$10:$H$87,MATCH(Table1[[#This Row],[DRIVERS]]&amp;Table1[[#This Row],[DEMAND]],'OUTCOME MODEL'!$A$10:$A$87&amp;'OUTCOME MODEL'!$B$10:$B$87,0),MATCH(Table1[[#This Row],[CAPACITY]],'OUTCOME MODEL'!$C$9:$H$9))</f>
        <v>0.85505347542714327</v>
      </c>
      <c r="F192" s="58">
        <f t="array" ref="F192">+INDEX('OUTCOME MODEL'!$I$10:$N$87,MATCH(Table1[[#This Row],[DRIVERS]]&amp;Table1[[#This Row],[DEMAND]],'OUTCOME MODEL'!$A$10:$A$87&amp;'OUTCOME MODEL'!$B$10:$B$87,0),MATCH(Table1[[#This Row],[CAPACITY]],'OUTCOME MODEL'!$I$9:$N$9))</f>
        <v>0.77700000000000002</v>
      </c>
      <c r="G192" s="60">
        <f t="array" ref="G192">+INDEX('OUTCOME MODEL'!$O$10:$T$87,MATCH(Table1[[#This Row],[DRIVERS]]&amp;Table1[[#This Row],[DEMAND]],'OUTCOME MODEL'!$A$10:$A$87&amp;'OUTCOME MODEL'!$B$10:$B$87,0),MATCH(Table1[[#This Row],[CAPACITY]],'OUTCOME MODEL'!$O$9:$T$9))</f>
        <v>1.7101069508542865</v>
      </c>
    </row>
    <row r="193" spans="1:7" x14ac:dyDescent="0.35">
      <c r="A193" s="45">
        <v>3</v>
      </c>
      <c r="B193" s="22">
        <v>7</v>
      </c>
      <c r="C193">
        <v>2</v>
      </c>
      <c r="D193" s="46">
        <f t="array" ref="D193">+INDEX('OUTCOME MODEL'!$U$10:$Z$87,MATCH(Table1[[#This Row],[DRIVERS]]&amp;Table1[[#This Row],[DEMAND]],'OUTCOME MODEL'!$A$10:$A$87&amp;'OUTCOME MODEL'!$B$10:$B$87,0),MATCH(Table1[[#This Row],[CAPACITY]],'OUTCOME MODEL'!$U$9:$Z$9))</f>
        <v>47.907095023703292</v>
      </c>
      <c r="E193" s="58">
        <f t="array" ref="E193">+INDEX('OUTCOME MODEL'!$C$10:$H$87,MATCH(Table1[[#This Row],[DRIVERS]]&amp;Table1[[#This Row],[DEMAND]],'OUTCOME MODEL'!$A$10:$A$87&amp;'OUTCOME MODEL'!$B$10:$B$87,0),MATCH(Table1[[#This Row],[CAPACITY]],'OUTCOME MODEL'!$C$9:$H$9))</f>
        <v>0.91251609568958658</v>
      </c>
      <c r="F193" s="58">
        <f t="array" ref="F193">+INDEX('OUTCOME MODEL'!$I$10:$N$87,MATCH(Table1[[#This Row],[DRIVERS]]&amp;Table1[[#This Row],[DEMAND]],'OUTCOME MODEL'!$A$10:$A$87&amp;'OUTCOME MODEL'!$B$10:$B$87,0),MATCH(Table1[[#This Row],[CAPACITY]],'OUTCOME MODEL'!$I$9:$N$9))</f>
        <v>0.70299999999999996</v>
      </c>
      <c r="G193" s="60">
        <f t="array" ref="G193">+INDEX('OUTCOME MODEL'!$O$10:$T$87,MATCH(Table1[[#This Row],[DRIVERS]]&amp;Table1[[#This Row],[DEMAND]],'OUTCOME MODEL'!$A$10:$A$87&amp;'OUTCOME MODEL'!$B$10:$B$87,0),MATCH(Table1[[#This Row],[CAPACITY]],'OUTCOME MODEL'!$O$9:$T$9))</f>
        <v>1.8250321913791732</v>
      </c>
    </row>
    <row r="194" spans="1:7" x14ac:dyDescent="0.35">
      <c r="A194" s="45">
        <v>3</v>
      </c>
      <c r="B194" s="22">
        <v>8</v>
      </c>
      <c r="C194">
        <v>2</v>
      </c>
      <c r="D194" s="46">
        <f t="array" ref="D194">+INDEX('OUTCOME MODEL'!$U$10:$Z$87,MATCH(Table1[[#This Row],[DRIVERS]]&amp;Table1[[#This Row],[DEMAND]],'OUTCOME MODEL'!$A$10:$A$87&amp;'OUTCOME MODEL'!$B$10:$B$87,0),MATCH(Table1[[#This Row],[CAPACITY]],'OUTCOME MODEL'!$U$9:$Z$9))</f>
        <v>49.965833140332464</v>
      </c>
      <c r="E194" s="58">
        <f t="array" ref="E194">+INDEX('OUTCOME MODEL'!$C$10:$H$87,MATCH(Table1[[#This Row],[DRIVERS]]&amp;Table1[[#This Row],[DEMAND]],'OUTCOME MODEL'!$A$10:$A$87&amp;'OUTCOME MODEL'!$B$10:$B$87,0),MATCH(Table1[[#This Row],[CAPACITY]],'OUTCOME MODEL'!$C$9:$H$9))</f>
        <v>0.95173015505395175</v>
      </c>
      <c r="F194" s="58">
        <f t="array" ref="F194">+INDEX('OUTCOME MODEL'!$I$10:$N$87,MATCH(Table1[[#This Row],[DRIVERS]]&amp;Table1[[#This Row],[DEMAND]],'OUTCOME MODEL'!$A$10:$A$87&amp;'OUTCOME MODEL'!$B$10:$B$87,0),MATCH(Table1[[#This Row],[CAPACITY]],'OUTCOME MODEL'!$I$9:$N$9))</f>
        <v>0.65300000000000002</v>
      </c>
      <c r="G194" s="60">
        <f t="array" ref="G194">+INDEX('OUTCOME MODEL'!$O$10:$T$87,MATCH(Table1[[#This Row],[DRIVERS]]&amp;Table1[[#This Row],[DEMAND]],'OUTCOME MODEL'!$A$10:$A$87&amp;'OUTCOME MODEL'!$B$10:$B$87,0),MATCH(Table1[[#This Row],[CAPACITY]],'OUTCOME MODEL'!$O$9:$T$9))</f>
        <v>1.9034603101079035</v>
      </c>
    </row>
    <row r="195" spans="1:7" x14ac:dyDescent="0.35">
      <c r="A195" s="19">
        <v>3</v>
      </c>
      <c r="B195" s="20">
        <v>9</v>
      </c>
      <c r="C195">
        <v>2</v>
      </c>
      <c r="D195" s="46">
        <f t="array" ref="D195">+INDEX('OUTCOME MODEL'!$U$10:$Z$87,MATCH(Table1[[#This Row],[DRIVERS]]&amp;Table1[[#This Row],[DEMAND]],'OUTCOME MODEL'!$A$10:$A$87&amp;'OUTCOME MODEL'!$B$10:$B$87,0),MATCH(Table1[[#This Row],[CAPACITY]],'OUTCOME MODEL'!$U$9:$Z$9))</f>
        <v>51.663843739641678</v>
      </c>
      <c r="E195" s="58">
        <f t="array" ref="E195">+INDEX('OUTCOME MODEL'!$C$10:$H$87,MATCH(Table1[[#This Row],[DRIVERS]]&amp;Table1[[#This Row],[DEMAND]],'OUTCOME MODEL'!$A$10:$A$87&amp;'OUTCOME MODEL'!$B$10:$B$87,0),MATCH(Table1[[#This Row],[CAPACITY]],'OUTCOME MODEL'!$C$9:$H$9))</f>
        <v>0.98407321408841286</v>
      </c>
      <c r="F195" s="58">
        <f t="array" ref="F195">+INDEX('OUTCOME MODEL'!$I$10:$N$87,MATCH(Table1[[#This Row],[DRIVERS]]&amp;Table1[[#This Row],[DEMAND]],'OUTCOME MODEL'!$A$10:$A$87&amp;'OUTCOME MODEL'!$B$10:$B$87,0),MATCH(Table1[[#This Row],[CAPACITY]],'OUTCOME MODEL'!$I$9:$N$9))</f>
        <v>0.61599999999999999</v>
      </c>
      <c r="G195" s="60">
        <f t="array" ref="G195">+INDEX('OUTCOME MODEL'!$O$10:$T$87,MATCH(Table1[[#This Row],[DRIVERS]]&amp;Table1[[#This Row],[DEMAND]],'OUTCOME MODEL'!$A$10:$A$87&amp;'OUTCOME MODEL'!$B$10:$B$87,0),MATCH(Table1[[#This Row],[CAPACITY]],'OUTCOME MODEL'!$O$9:$T$9))</f>
        <v>1.9681464281768257</v>
      </c>
    </row>
    <row r="196" spans="1:7" x14ac:dyDescent="0.35">
      <c r="A196" s="45">
        <v>3</v>
      </c>
      <c r="B196" s="22">
        <v>10</v>
      </c>
      <c r="C196">
        <v>2</v>
      </c>
      <c r="D196" s="46">
        <f t="array" ref="D196">+INDEX('OUTCOME MODEL'!$U$10:$Z$87,MATCH(Table1[[#This Row],[DRIVERS]]&amp;Table1[[#This Row],[DEMAND]],'OUTCOME MODEL'!$A$10:$A$87&amp;'OUTCOME MODEL'!$B$10:$B$87,0),MATCH(Table1[[#This Row],[CAPACITY]],'OUTCOME MODEL'!$U$9:$Z$9))</f>
        <v>52.592638830681189</v>
      </c>
      <c r="E196" s="58">
        <f t="array" ref="E196">+INDEX('OUTCOME MODEL'!$C$10:$H$87,MATCH(Table1[[#This Row],[DRIVERS]]&amp;Table1[[#This Row],[DEMAND]],'OUTCOME MODEL'!$A$10:$A$87&amp;'OUTCOME MODEL'!$B$10:$B$87,0),MATCH(Table1[[#This Row],[CAPACITY]],'OUTCOME MODEL'!$C$9:$H$9))</f>
        <v>1.001764549155832</v>
      </c>
      <c r="F196" s="58">
        <f t="array" ref="F196">+INDEX('OUTCOME MODEL'!$I$10:$N$87,MATCH(Table1[[#This Row],[DRIVERS]]&amp;Table1[[#This Row],[DEMAND]],'OUTCOME MODEL'!$A$10:$A$87&amp;'OUTCOME MODEL'!$B$10:$B$87,0),MATCH(Table1[[#This Row],[CAPACITY]],'OUTCOME MODEL'!$I$9:$N$9))</f>
        <v>0.57199999999999995</v>
      </c>
      <c r="G196" s="60">
        <f t="array" ref="G196">+INDEX('OUTCOME MODEL'!$O$10:$T$87,MATCH(Table1[[#This Row],[DRIVERS]]&amp;Table1[[#This Row],[DEMAND]],'OUTCOME MODEL'!$A$10:$A$87&amp;'OUTCOME MODEL'!$B$10:$B$87,0),MATCH(Table1[[#This Row],[CAPACITY]],'OUTCOME MODEL'!$O$9:$T$9))</f>
        <v>2.003529098311664</v>
      </c>
    </row>
    <row r="197" spans="1:7" x14ac:dyDescent="0.35">
      <c r="A197" s="45">
        <v>3</v>
      </c>
      <c r="B197" s="22">
        <v>11</v>
      </c>
      <c r="C197">
        <v>2</v>
      </c>
      <c r="D197" s="46">
        <f t="array" ref="D197">+INDEX('OUTCOME MODEL'!$U$10:$Z$87,MATCH(Table1[[#This Row],[DRIVERS]]&amp;Table1[[#This Row],[DEMAND]],'OUTCOME MODEL'!$A$10:$A$87&amp;'OUTCOME MODEL'!$B$10:$B$87,0),MATCH(Table1[[#This Row],[CAPACITY]],'OUTCOME MODEL'!$U$9:$Z$9))</f>
        <v>53.812986775035128</v>
      </c>
      <c r="E197" s="58">
        <f t="array" ref="E197">+INDEX('OUTCOME MODEL'!$C$10:$H$87,MATCH(Table1[[#This Row],[DRIVERS]]&amp;Table1[[#This Row],[DEMAND]],'OUTCOME MODEL'!$A$10:$A$87&amp;'OUTCOME MODEL'!$B$10:$B$87,0),MATCH(Table1[[#This Row],[CAPACITY]],'OUTCOME MODEL'!$C$9:$H$9))</f>
        <v>1.0250092719054311</v>
      </c>
      <c r="F197" s="58">
        <f t="array" ref="F197">+INDEX('OUTCOME MODEL'!$I$10:$N$87,MATCH(Table1[[#This Row],[DRIVERS]]&amp;Table1[[#This Row],[DEMAND]],'OUTCOME MODEL'!$A$10:$A$87&amp;'OUTCOME MODEL'!$B$10:$B$87,0),MATCH(Table1[[#This Row],[CAPACITY]],'OUTCOME MODEL'!$I$9:$N$9))</f>
        <v>0.51100000000000001</v>
      </c>
      <c r="G197" s="60">
        <f t="array" ref="G197">+INDEX('OUTCOME MODEL'!$O$10:$T$87,MATCH(Table1[[#This Row],[DRIVERS]]&amp;Table1[[#This Row],[DEMAND]],'OUTCOME MODEL'!$A$10:$A$87&amp;'OUTCOME MODEL'!$B$10:$B$87,0),MATCH(Table1[[#This Row],[CAPACITY]],'OUTCOME MODEL'!$O$9:$T$9))</f>
        <v>2.0500185438108622</v>
      </c>
    </row>
    <row r="198" spans="1:7" x14ac:dyDescent="0.35">
      <c r="A198" s="45">
        <v>3</v>
      </c>
      <c r="B198" s="22">
        <v>12</v>
      </c>
      <c r="C198">
        <v>2</v>
      </c>
      <c r="D198" s="46">
        <f t="array" ref="D198">+INDEX('OUTCOME MODEL'!$U$10:$Z$87,MATCH(Table1[[#This Row],[DRIVERS]]&amp;Table1[[#This Row],[DEMAND]],'OUTCOME MODEL'!$A$10:$A$87&amp;'OUTCOME MODEL'!$B$10:$B$87,0),MATCH(Table1[[#This Row],[CAPACITY]],'OUTCOME MODEL'!$U$9:$Z$9))</f>
        <v>54.301629265286252</v>
      </c>
      <c r="E198" s="58">
        <f t="array" ref="E198">+INDEX('OUTCOME MODEL'!$C$10:$H$87,MATCH(Table1[[#This Row],[DRIVERS]]&amp;Table1[[#This Row],[DEMAND]],'OUTCOME MODEL'!$A$10:$A$87&amp;'OUTCOME MODEL'!$B$10:$B$87,0),MATCH(Table1[[#This Row],[CAPACITY]],'OUTCOME MODEL'!$C$9:$H$9))</f>
        <v>1.0343167479102144</v>
      </c>
      <c r="F198" s="58">
        <f t="array" ref="F198">+INDEX('OUTCOME MODEL'!$I$10:$N$87,MATCH(Table1[[#This Row],[DRIVERS]]&amp;Table1[[#This Row],[DEMAND]],'OUTCOME MODEL'!$A$10:$A$87&amp;'OUTCOME MODEL'!$B$10:$B$87,0),MATCH(Table1[[#This Row],[CAPACITY]],'OUTCOME MODEL'!$I$9:$N$9))</f>
        <v>0.504</v>
      </c>
      <c r="G198" s="60">
        <f t="array" ref="G198">+INDEX('OUTCOME MODEL'!$O$10:$T$87,MATCH(Table1[[#This Row],[DRIVERS]]&amp;Table1[[#This Row],[DEMAND]],'OUTCOME MODEL'!$A$10:$A$87&amp;'OUTCOME MODEL'!$B$10:$B$87,0),MATCH(Table1[[#This Row],[CAPACITY]],'OUTCOME MODEL'!$O$9:$T$9))</f>
        <v>2.0686334958204289</v>
      </c>
    </row>
    <row r="199" spans="1:7" x14ac:dyDescent="0.35">
      <c r="A199" s="48">
        <v>4</v>
      </c>
      <c r="B199" s="49">
        <v>0</v>
      </c>
      <c r="C199">
        <v>2</v>
      </c>
      <c r="D199" s="46">
        <f t="array" ref="D199">+INDEX('OUTCOME MODEL'!$U$10:$Z$87,MATCH(Table1[[#This Row],[DRIVERS]]&amp;Table1[[#This Row],[DEMAND]],'OUTCOME MODEL'!$A$10:$A$87&amp;'OUTCOME MODEL'!$B$10:$B$87,0),MATCH(Table1[[#This Row],[CAPACITY]],'OUTCOME MODEL'!$U$9:$Z$9))</f>
        <v>0</v>
      </c>
      <c r="E199" s="58">
        <f t="array" ref="E199">+INDEX('OUTCOME MODEL'!$C$10:$H$87,MATCH(Table1[[#This Row],[DRIVERS]]&amp;Table1[[#This Row],[DEMAND]],'OUTCOME MODEL'!$A$10:$A$87&amp;'OUTCOME MODEL'!$B$10:$B$87,0),MATCH(Table1[[#This Row],[CAPACITY]],'OUTCOME MODEL'!$C$9:$H$9))</f>
        <v>0</v>
      </c>
      <c r="F199" s="58">
        <f t="array" ref="F19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199" s="60">
        <f t="array" ref="G199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00" spans="1:7" x14ac:dyDescent="0.35">
      <c r="A200" s="45">
        <v>4</v>
      </c>
      <c r="B200" s="22">
        <v>1</v>
      </c>
      <c r="C200">
        <v>2</v>
      </c>
      <c r="D200" s="46">
        <f t="array" ref="D200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00" s="58">
        <f t="array" ref="E200">+INDEX('OUTCOME MODEL'!$C$10:$H$87,MATCH(Table1[[#This Row],[DRIVERS]]&amp;Table1[[#This Row],[DEMAND]],'OUTCOME MODEL'!$A$10:$A$87&amp;'OUTCOME MODEL'!$B$10:$B$87,0),MATCH(Table1[[#This Row],[CAPACITY]],'OUTCOME MODEL'!$C$9:$H$9))</f>
        <v>0.1526716312532283</v>
      </c>
      <c r="F200" s="58">
        <f t="array" ref="F200">+INDEX('OUTCOME MODEL'!$I$10:$N$87,MATCH(Table1[[#This Row],[DRIVERS]]&amp;Table1[[#This Row],[DEMAND]],'OUTCOME MODEL'!$A$10:$A$87&amp;'OUTCOME MODEL'!$B$10:$B$87,0),MATCH(Table1[[#This Row],[CAPACITY]],'OUTCOME MODEL'!$I$9:$N$9))</f>
        <v>0.96699999999999997</v>
      </c>
      <c r="G200" s="60">
        <f t="array" ref="G200">+INDEX('OUTCOME MODEL'!$O$10:$T$87,MATCH(Table1[[#This Row],[DRIVERS]]&amp;Table1[[#This Row],[DEMAND]],'OUTCOME MODEL'!$A$10:$A$87&amp;'OUTCOME MODEL'!$B$10:$B$87,0),MATCH(Table1[[#This Row],[CAPACITY]],'OUTCOME MODEL'!$O$9:$T$9))</f>
        <v>0.25</v>
      </c>
    </row>
    <row r="201" spans="1:7" x14ac:dyDescent="0.35">
      <c r="A201" s="45">
        <v>4</v>
      </c>
      <c r="B201" s="22">
        <v>2</v>
      </c>
      <c r="C201">
        <v>2</v>
      </c>
      <c r="D201" s="46">
        <f t="array" ref="D201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01" s="58">
        <f t="array" ref="E201">+INDEX('OUTCOME MODEL'!$C$10:$H$87,MATCH(Table1[[#This Row],[DRIVERS]]&amp;Table1[[#This Row],[DEMAND]],'OUTCOME MODEL'!$A$10:$A$87&amp;'OUTCOME MODEL'!$B$10:$B$87,0),MATCH(Table1[[#This Row],[CAPACITY]],'OUTCOME MODEL'!$C$9:$H$9))</f>
        <v>0.29895599243334925</v>
      </c>
      <c r="F201" s="58">
        <f t="array" ref="F201">+INDEX('OUTCOME MODEL'!$I$10:$N$87,MATCH(Table1[[#This Row],[DRIVERS]]&amp;Table1[[#This Row],[DEMAND]],'OUTCOME MODEL'!$A$10:$A$87&amp;'OUTCOME MODEL'!$B$10:$B$87,0),MATCH(Table1[[#This Row],[CAPACITY]],'OUTCOME MODEL'!$I$9:$N$9))</f>
        <v>0.98199999999999998</v>
      </c>
      <c r="G201" s="60">
        <f t="array" ref="G201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202" spans="1:7" x14ac:dyDescent="0.35">
      <c r="A202" s="45">
        <v>4</v>
      </c>
      <c r="B202" s="22">
        <v>3</v>
      </c>
      <c r="C202">
        <v>2</v>
      </c>
      <c r="D202" s="46">
        <f t="array" ref="D202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02" s="58">
        <f t="array" ref="E202">+INDEX('OUTCOME MODEL'!$C$10:$H$87,MATCH(Table1[[#This Row],[DRIVERS]]&amp;Table1[[#This Row],[DEMAND]],'OUTCOME MODEL'!$A$10:$A$87&amp;'OUTCOME MODEL'!$B$10:$B$87,0),MATCH(Table1[[#This Row],[CAPACITY]],'OUTCOME MODEL'!$C$9:$H$9))</f>
        <v>0.43197969771820538</v>
      </c>
      <c r="F202" s="58">
        <f t="array" ref="F202">+INDEX('OUTCOME MODEL'!$I$10:$N$87,MATCH(Table1[[#This Row],[DRIVERS]]&amp;Table1[[#This Row],[DEMAND]],'OUTCOME MODEL'!$A$10:$A$87&amp;'OUTCOME MODEL'!$B$10:$B$87,0),MATCH(Table1[[#This Row],[CAPACITY]],'OUTCOME MODEL'!$I$9:$N$9))</f>
        <v>0.95899999999999996</v>
      </c>
      <c r="G202" s="60">
        <f t="array" ref="G202">+INDEX('OUTCOME MODEL'!$O$10:$T$87,MATCH(Table1[[#This Row],[DRIVERS]]&amp;Table1[[#This Row],[DEMAND]],'OUTCOME MODEL'!$A$10:$A$87&amp;'OUTCOME MODEL'!$B$10:$B$87,0),MATCH(Table1[[#This Row],[CAPACITY]],'OUTCOME MODEL'!$O$9:$T$9))</f>
        <v>0.75</v>
      </c>
    </row>
    <row r="203" spans="1:7" x14ac:dyDescent="0.35">
      <c r="A203" s="45">
        <v>4</v>
      </c>
      <c r="B203" s="22">
        <v>4</v>
      </c>
      <c r="C203">
        <v>2</v>
      </c>
      <c r="D203" s="46">
        <f t="array" ref="D203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03" s="58">
        <f t="array" ref="E203">+INDEX('OUTCOME MODEL'!$C$10:$H$87,MATCH(Table1[[#This Row],[DRIVERS]]&amp;Table1[[#This Row],[DEMAND]],'OUTCOME MODEL'!$A$10:$A$87&amp;'OUTCOME MODEL'!$B$10:$B$87,0),MATCH(Table1[[#This Row],[CAPACITY]],'OUTCOME MODEL'!$C$9:$H$9))</f>
        <v>0.54747958671473262</v>
      </c>
      <c r="F203" s="58">
        <f t="array" ref="F203">+INDEX('OUTCOME MODEL'!$I$10:$N$87,MATCH(Table1[[#This Row],[DRIVERS]]&amp;Table1[[#This Row],[DEMAND]],'OUTCOME MODEL'!$A$10:$A$87&amp;'OUTCOME MODEL'!$B$10:$B$87,0),MATCH(Table1[[#This Row],[CAPACITY]],'OUTCOME MODEL'!$I$9:$N$9))</f>
        <v>0.94299999999999995</v>
      </c>
      <c r="G203" s="60">
        <f t="array" ref="G203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04" spans="1:7" x14ac:dyDescent="0.35">
      <c r="A204" s="45">
        <v>4</v>
      </c>
      <c r="B204" s="22">
        <v>5</v>
      </c>
      <c r="C204">
        <v>2</v>
      </c>
      <c r="D204" s="46">
        <f t="array" ref="D204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04" s="58">
        <f t="array" ref="E204">+INDEX('OUTCOME MODEL'!$C$10:$H$87,MATCH(Table1[[#This Row],[DRIVERS]]&amp;Table1[[#This Row],[DEMAND]],'OUTCOME MODEL'!$A$10:$A$87&amp;'OUTCOME MODEL'!$B$10:$B$87,0),MATCH(Table1[[#This Row],[CAPACITY]],'OUTCOME MODEL'!$C$9:$H$9))</f>
        <v>0.65631524277407083</v>
      </c>
      <c r="F204" s="58">
        <f t="array" ref="F204">+INDEX('OUTCOME MODEL'!$I$10:$N$87,MATCH(Table1[[#This Row],[DRIVERS]]&amp;Table1[[#This Row],[DEMAND]],'OUTCOME MODEL'!$A$10:$A$87&amp;'OUTCOME MODEL'!$B$10:$B$87,0),MATCH(Table1[[#This Row],[CAPACITY]],'OUTCOME MODEL'!$I$9:$N$9))</f>
        <v>0.92300000000000004</v>
      </c>
      <c r="G204" s="60">
        <f t="array" ref="G204">+INDEX('OUTCOME MODEL'!$O$10:$T$87,MATCH(Table1[[#This Row],[DRIVERS]]&amp;Table1[[#This Row],[DEMAND]],'OUTCOME MODEL'!$A$10:$A$87&amp;'OUTCOME MODEL'!$B$10:$B$87,0),MATCH(Table1[[#This Row],[CAPACITY]],'OUTCOME MODEL'!$O$9:$T$9))</f>
        <v>1.25</v>
      </c>
    </row>
    <row r="205" spans="1:7" x14ac:dyDescent="0.35">
      <c r="A205" s="45">
        <v>4</v>
      </c>
      <c r="B205" s="22">
        <v>6</v>
      </c>
      <c r="C205">
        <v>2</v>
      </c>
      <c r="D205" s="46">
        <f t="array" ref="D205">+INDEX('OUTCOME MODEL'!$U$10:$Z$87,MATCH(Table1[[#This Row],[DRIVERS]]&amp;Table1[[#This Row],[DEMAND]],'OUTCOME MODEL'!$A$10:$A$87&amp;'OUTCOME MODEL'!$B$10:$B$87,0),MATCH(Table1[[#This Row],[CAPACITY]],'OUTCOME MODEL'!$U$9:$Z$9))</f>
        <v>51.693082449534856</v>
      </c>
      <c r="E205" s="58">
        <f t="array" ref="E205">+INDEX('OUTCOME MODEL'!$C$10:$H$87,MATCH(Table1[[#This Row],[DRIVERS]]&amp;Table1[[#This Row],[DEMAND]],'OUTCOME MODEL'!$A$10:$A$87&amp;'OUTCOME MODEL'!$B$10:$B$87,0),MATCH(Table1[[#This Row],[CAPACITY]],'OUTCOME MODEL'!$C$9:$H$9))</f>
        <v>0.73847260642192647</v>
      </c>
      <c r="F205" s="58">
        <f t="array" ref="F205">+INDEX('OUTCOME MODEL'!$I$10:$N$87,MATCH(Table1[[#This Row],[DRIVERS]]&amp;Table1[[#This Row],[DEMAND]],'OUTCOME MODEL'!$A$10:$A$87&amp;'OUTCOME MODEL'!$B$10:$B$87,0),MATCH(Table1[[#This Row],[CAPACITY]],'OUTCOME MODEL'!$I$9:$N$9))</f>
        <v>0.86799999999999999</v>
      </c>
      <c r="G205" s="60">
        <f t="array" ref="G205">+INDEX('OUTCOME MODEL'!$O$10:$T$87,MATCH(Table1[[#This Row],[DRIVERS]]&amp;Table1[[#This Row],[DEMAND]],'OUTCOME MODEL'!$A$10:$A$87&amp;'OUTCOME MODEL'!$B$10:$B$87,0),MATCH(Table1[[#This Row],[CAPACITY]],'OUTCOME MODEL'!$O$9:$T$9))</f>
        <v>1.4769452128438529</v>
      </c>
    </row>
    <row r="206" spans="1:7" x14ac:dyDescent="0.35">
      <c r="A206" s="45">
        <v>4</v>
      </c>
      <c r="B206" s="22">
        <v>7</v>
      </c>
      <c r="C206">
        <v>2</v>
      </c>
      <c r="D206" s="46">
        <f t="array" ref="D206">+INDEX('OUTCOME MODEL'!$U$10:$Z$87,MATCH(Table1[[#This Row],[DRIVERS]]&amp;Table1[[#This Row],[DEMAND]],'OUTCOME MODEL'!$A$10:$A$87&amp;'OUTCOME MODEL'!$B$10:$B$87,0),MATCH(Table1[[#This Row],[CAPACITY]],'OUTCOME MODEL'!$U$9:$Z$9))</f>
        <v>56.569369047641295</v>
      </c>
      <c r="E206" s="58">
        <f t="array" ref="E206">+INDEX('OUTCOME MODEL'!$C$10:$H$87,MATCH(Table1[[#This Row],[DRIVERS]]&amp;Table1[[#This Row],[DEMAND]],'OUTCOME MODEL'!$A$10:$A$87&amp;'OUTCOME MODEL'!$B$10:$B$87,0),MATCH(Table1[[#This Row],[CAPACITY]],'OUTCOME MODEL'!$C$9:$H$9))</f>
        <v>0.80813384353773288</v>
      </c>
      <c r="F206" s="58">
        <f t="array" ref="F206">+INDEX('OUTCOME MODEL'!$I$10:$N$87,MATCH(Table1[[#This Row],[DRIVERS]]&amp;Table1[[#This Row],[DEMAND]],'OUTCOME MODEL'!$A$10:$A$87&amp;'OUTCOME MODEL'!$B$10:$B$87,0),MATCH(Table1[[#This Row],[CAPACITY]],'OUTCOME MODEL'!$I$9:$N$9))</f>
        <v>0.84499999999999997</v>
      </c>
      <c r="G206" s="60">
        <f t="array" ref="G206">+INDEX('OUTCOME MODEL'!$O$10:$T$87,MATCH(Table1[[#This Row],[DRIVERS]]&amp;Table1[[#This Row],[DEMAND]],'OUTCOME MODEL'!$A$10:$A$87&amp;'OUTCOME MODEL'!$B$10:$B$87,0),MATCH(Table1[[#This Row],[CAPACITY]],'OUTCOME MODEL'!$O$9:$T$9))</f>
        <v>1.6162676870754658</v>
      </c>
    </row>
    <row r="207" spans="1:7" x14ac:dyDescent="0.35">
      <c r="A207" s="19">
        <v>4</v>
      </c>
      <c r="B207" s="20">
        <v>8</v>
      </c>
      <c r="C207">
        <v>2</v>
      </c>
      <c r="D207" s="46">
        <f t="array" ref="D207">+INDEX('OUTCOME MODEL'!$U$10:$Z$87,MATCH(Table1[[#This Row],[DRIVERS]]&amp;Table1[[#This Row],[DEMAND]],'OUTCOME MODEL'!$A$10:$A$87&amp;'OUTCOME MODEL'!$B$10:$B$87,0),MATCH(Table1[[#This Row],[CAPACITY]],'OUTCOME MODEL'!$U$9:$Z$9))</f>
        <v>60.24991406544661</v>
      </c>
      <c r="E207" s="58">
        <f t="array" ref="E207">+INDEX('OUTCOME MODEL'!$C$10:$H$87,MATCH(Table1[[#This Row],[DRIVERS]]&amp;Table1[[#This Row],[DEMAND]],'OUTCOME MODEL'!$A$10:$A$87&amp;'OUTCOME MODEL'!$B$10:$B$87,0),MATCH(Table1[[#This Row],[CAPACITY]],'OUTCOME MODEL'!$C$9:$H$9))</f>
        <v>0.86071305807780873</v>
      </c>
      <c r="F207" s="58">
        <f t="array" ref="F207">+INDEX('OUTCOME MODEL'!$I$10:$N$87,MATCH(Table1[[#This Row],[DRIVERS]]&amp;Table1[[#This Row],[DEMAND]],'OUTCOME MODEL'!$A$10:$A$87&amp;'OUTCOME MODEL'!$B$10:$B$87,0),MATCH(Table1[[#This Row],[CAPACITY]],'OUTCOME MODEL'!$I$9:$N$9))</f>
        <v>0.80700000000000005</v>
      </c>
      <c r="G207" s="60">
        <f t="array" ref="G207">+INDEX('OUTCOME MODEL'!$O$10:$T$87,MATCH(Table1[[#This Row],[DRIVERS]]&amp;Table1[[#This Row],[DEMAND]],'OUTCOME MODEL'!$A$10:$A$87&amp;'OUTCOME MODEL'!$B$10:$B$87,0),MATCH(Table1[[#This Row],[CAPACITY]],'OUTCOME MODEL'!$O$9:$T$9))</f>
        <v>1.7214261161556175</v>
      </c>
    </row>
    <row r="208" spans="1:7" x14ac:dyDescent="0.35">
      <c r="A208" s="45">
        <v>4</v>
      </c>
      <c r="B208" s="22">
        <v>9</v>
      </c>
      <c r="C208">
        <v>2</v>
      </c>
      <c r="D208" s="46">
        <f t="array" ref="D208">+INDEX('OUTCOME MODEL'!$U$10:$Z$87,MATCH(Table1[[#This Row],[DRIVERS]]&amp;Table1[[#This Row],[DEMAND]],'OUTCOME MODEL'!$A$10:$A$87&amp;'OUTCOME MODEL'!$B$10:$B$87,0),MATCH(Table1[[#This Row],[CAPACITY]],'OUTCOME MODEL'!$U$9:$Z$9))</f>
        <v>62.939822353994714</v>
      </c>
      <c r="E208" s="58">
        <f t="array" ref="E208">+INDEX('OUTCOME MODEL'!$C$10:$H$87,MATCH(Table1[[#This Row],[DRIVERS]]&amp;Table1[[#This Row],[DEMAND]],'OUTCOME MODEL'!$A$10:$A$87&amp;'OUTCOME MODEL'!$B$10:$B$87,0),MATCH(Table1[[#This Row],[CAPACITY]],'OUTCOME MODEL'!$C$9:$H$9))</f>
        <v>0.8991403193427816</v>
      </c>
      <c r="F208" s="58">
        <f t="array" ref="F208">+INDEX('OUTCOME MODEL'!$I$10:$N$87,MATCH(Table1[[#This Row],[DRIVERS]]&amp;Table1[[#This Row],[DEMAND]],'OUTCOME MODEL'!$A$10:$A$87&amp;'OUTCOME MODEL'!$B$10:$B$87,0),MATCH(Table1[[#This Row],[CAPACITY]],'OUTCOME MODEL'!$I$9:$N$9))</f>
        <v>0.755</v>
      </c>
      <c r="G208" s="60">
        <f t="array" ref="G208">+INDEX('OUTCOME MODEL'!$O$10:$T$87,MATCH(Table1[[#This Row],[DRIVERS]]&amp;Table1[[#This Row],[DEMAND]],'OUTCOME MODEL'!$A$10:$A$87&amp;'OUTCOME MODEL'!$B$10:$B$87,0),MATCH(Table1[[#This Row],[CAPACITY]],'OUTCOME MODEL'!$O$9:$T$9))</f>
        <v>1.7982806386855632</v>
      </c>
    </row>
    <row r="209" spans="1:7" x14ac:dyDescent="0.35">
      <c r="A209" s="45">
        <v>4</v>
      </c>
      <c r="B209" s="22">
        <v>10</v>
      </c>
      <c r="C209">
        <v>2</v>
      </c>
      <c r="D209" s="46">
        <f t="array" ref="D209">+INDEX('OUTCOME MODEL'!$U$10:$Z$87,MATCH(Table1[[#This Row],[DRIVERS]]&amp;Table1[[#This Row],[DEMAND]],'OUTCOME MODEL'!$A$10:$A$87&amp;'OUTCOME MODEL'!$B$10:$B$87,0),MATCH(Table1[[#This Row],[CAPACITY]],'OUTCOME MODEL'!$U$9:$Z$9))</f>
        <v>65.283319340560553</v>
      </c>
      <c r="E209" s="58">
        <f t="array" ref="E209">+INDEX('OUTCOME MODEL'!$C$10:$H$87,MATCH(Table1[[#This Row],[DRIVERS]]&amp;Table1[[#This Row],[DEMAND]],'OUTCOME MODEL'!$A$10:$A$87&amp;'OUTCOME MODEL'!$B$10:$B$87,0),MATCH(Table1[[#This Row],[CAPACITY]],'OUTCOME MODEL'!$C$9:$H$9))</f>
        <v>0.93261884772229364</v>
      </c>
      <c r="F209" s="58">
        <f t="array" ref="F209">+INDEX('OUTCOME MODEL'!$I$10:$N$87,MATCH(Table1[[#This Row],[DRIVERS]]&amp;Table1[[#This Row],[DEMAND]],'OUTCOME MODEL'!$A$10:$A$87&amp;'OUTCOME MODEL'!$B$10:$B$87,0),MATCH(Table1[[#This Row],[CAPACITY]],'OUTCOME MODEL'!$I$9:$N$9))</f>
        <v>0.68400000000000005</v>
      </c>
      <c r="G209" s="60">
        <f t="array" ref="G209">+INDEX('OUTCOME MODEL'!$O$10:$T$87,MATCH(Table1[[#This Row],[DRIVERS]]&amp;Table1[[#This Row],[DEMAND]],'OUTCOME MODEL'!$A$10:$A$87&amp;'OUTCOME MODEL'!$B$10:$B$87,0),MATCH(Table1[[#This Row],[CAPACITY]],'OUTCOME MODEL'!$O$9:$T$9))</f>
        <v>1.8652376954445873</v>
      </c>
    </row>
    <row r="210" spans="1:7" x14ac:dyDescent="0.35">
      <c r="A210" s="45">
        <v>4</v>
      </c>
      <c r="B210" s="22">
        <v>11</v>
      </c>
      <c r="C210">
        <v>2</v>
      </c>
      <c r="D210" s="46">
        <f t="array" ref="D210">+INDEX('OUTCOME MODEL'!$U$10:$Z$87,MATCH(Table1[[#This Row],[DRIVERS]]&amp;Table1[[#This Row],[DEMAND]],'OUTCOME MODEL'!$A$10:$A$87&amp;'OUTCOME MODEL'!$B$10:$B$87,0),MATCH(Table1[[#This Row],[CAPACITY]],'OUTCOME MODEL'!$U$9:$Z$9))</f>
        <v>66.542916027434245</v>
      </c>
      <c r="E210" s="58">
        <f t="array" ref="E210">+INDEX('OUTCOME MODEL'!$C$10:$H$87,MATCH(Table1[[#This Row],[DRIVERS]]&amp;Table1[[#This Row],[DEMAND]],'OUTCOME MODEL'!$A$10:$A$87&amp;'OUTCOME MODEL'!$B$10:$B$87,0),MATCH(Table1[[#This Row],[CAPACITY]],'OUTCOME MODEL'!$C$9:$H$9))</f>
        <v>0.95061308610620354</v>
      </c>
      <c r="F210" s="58">
        <f t="array" ref="F210">+INDEX('OUTCOME MODEL'!$I$10:$N$87,MATCH(Table1[[#This Row],[DRIVERS]]&amp;Table1[[#This Row],[DEMAND]],'OUTCOME MODEL'!$A$10:$A$87&amp;'OUTCOME MODEL'!$B$10:$B$87,0),MATCH(Table1[[#This Row],[CAPACITY]],'OUTCOME MODEL'!$I$9:$N$9))</f>
        <v>0.66600000000000004</v>
      </c>
      <c r="G210" s="60">
        <f t="array" ref="G210">+INDEX('OUTCOME MODEL'!$O$10:$T$87,MATCH(Table1[[#This Row],[DRIVERS]]&amp;Table1[[#This Row],[DEMAND]],'OUTCOME MODEL'!$A$10:$A$87&amp;'OUTCOME MODEL'!$B$10:$B$87,0),MATCH(Table1[[#This Row],[CAPACITY]],'OUTCOME MODEL'!$O$9:$T$9))</f>
        <v>1.9012261722124071</v>
      </c>
    </row>
    <row r="211" spans="1:7" x14ac:dyDescent="0.35">
      <c r="A211" s="45">
        <v>4</v>
      </c>
      <c r="B211" s="22">
        <v>12</v>
      </c>
      <c r="C211">
        <v>2</v>
      </c>
      <c r="D211" s="46">
        <f t="array" ref="D211">+INDEX('OUTCOME MODEL'!$U$10:$Z$87,MATCH(Table1[[#This Row],[DRIVERS]]&amp;Table1[[#This Row],[DEMAND]],'OUTCOME MODEL'!$A$10:$A$87&amp;'OUTCOME MODEL'!$B$10:$B$87,0),MATCH(Table1[[#This Row],[CAPACITY]],'OUTCOME MODEL'!$U$9:$Z$9))</f>
        <v>68.217215077057006</v>
      </c>
      <c r="E211" s="58">
        <f t="array" ref="E211">+INDEX('OUTCOME MODEL'!$C$10:$H$87,MATCH(Table1[[#This Row],[DRIVERS]]&amp;Table1[[#This Row],[DEMAND]],'OUTCOME MODEL'!$A$10:$A$87&amp;'OUTCOME MODEL'!$B$10:$B$87,0),MATCH(Table1[[#This Row],[CAPACITY]],'OUTCOME MODEL'!$C$9:$H$9))</f>
        <v>0.97453164395795711</v>
      </c>
      <c r="F211" s="58">
        <f t="array" ref="F211">+INDEX('OUTCOME MODEL'!$I$10:$N$87,MATCH(Table1[[#This Row],[DRIVERS]]&amp;Table1[[#This Row],[DEMAND]],'OUTCOME MODEL'!$A$10:$A$87&amp;'OUTCOME MODEL'!$B$10:$B$87,0),MATCH(Table1[[#This Row],[CAPACITY]],'OUTCOME MODEL'!$I$9:$N$9))</f>
        <v>0.60299999999999998</v>
      </c>
      <c r="G211" s="60">
        <f t="array" ref="G211">+INDEX('OUTCOME MODEL'!$O$10:$T$87,MATCH(Table1[[#This Row],[DRIVERS]]&amp;Table1[[#This Row],[DEMAND]],'OUTCOME MODEL'!$A$10:$A$87&amp;'OUTCOME MODEL'!$B$10:$B$87,0),MATCH(Table1[[#This Row],[CAPACITY]],'OUTCOME MODEL'!$O$9:$T$9))</f>
        <v>1.9490632879159142</v>
      </c>
    </row>
    <row r="212" spans="1:7" x14ac:dyDescent="0.35">
      <c r="A212" s="48">
        <v>5</v>
      </c>
      <c r="B212" s="49">
        <v>0</v>
      </c>
      <c r="C212">
        <v>2</v>
      </c>
      <c r="D212" s="46">
        <f t="array" ref="D212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12" s="58">
        <f t="array" ref="E212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12" s="58">
        <f t="array" ref="F21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12" s="60">
        <f t="array" ref="G212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13" spans="1:7" x14ac:dyDescent="0.35">
      <c r="A213" s="45">
        <v>5</v>
      </c>
      <c r="B213" s="22">
        <v>1</v>
      </c>
      <c r="C213">
        <v>2</v>
      </c>
      <c r="D213" s="46">
        <f t="array" ref="D213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13" s="58">
        <f t="array" ref="E213">+INDEX('OUTCOME MODEL'!$C$10:$H$87,MATCH(Table1[[#This Row],[DRIVERS]]&amp;Table1[[#This Row],[DEMAND]],'OUTCOME MODEL'!$A$10:$A$87&amp;'OUTCOME MODEL'!$B$10:$B$87,0),MATCH(Table1[[#This Row],[CAPACITY]],'OUTCOME MODEL'!$C$9:$H$9))</f>
        <v>0.12151554726857472</v>
      </c>
      <c r="F213" s="58">
        <f t="array" ref="F213">+INDEX('OUTCOME MODEL'!$I$10:$N$87,MATCH(Table1[[#This Row],[DRIVERS]]&amp;Table1[[#This Row],[DEMAND]],'OUTCOME MODEL'!$A$10:$A$87&amp;'OUTCOME MODEL'!$B$10:$B$87,0),MATCH(Table1[[#This Row],[CAPACITY]],'OUTCOME MODEL'!$I$9:$N$9))</f>
        <v>0.96699999999999997</v>
      </c>
      <c r="G213" s="60">
        <f t="array" ref="G213">+INDEX('OUTCOME MODEL'!$O$10:$T$87,MATCH(Table1[[#This Row],[DRIVERS]]&amp;Table1[[#This Row],[DEMAND]],'OUTCOME MODEL'!$A$10:$A$87&amp;'OUTCOME MODEL'!$B$10:$B$87,0),MATCH(Table1[[#This Row],[CAPACITY]],'OUTCOME MODEL'!$O$9:$T$9))</f>
        <v>0.2</v>
      </c>
    </row>
    <row r="214" spans="1:7" x14ac:dyDescent="0.35">
      <c r="A214" s="45">
        <v>5</v>
      </c>
      <c r="B214" s="22">
        <v>2</v>
      </c>
      <c r="C214">
        <v>2</v>
      </c>
      <c r="D214" s="46">
        <f t="array" ref="D214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14" s="58">
        <f t="array" ref="E214">+INDEX('OUTCOME MODEL'!$C$10:$H$87,MATCH(Table1[[#This Row],[DRIVERS]]&amp;Table1[[#This Row],[DEMAND]],'OUTCOME MODEL'!$A$10:$A$87&amp;'OUTCOME MODEL'!$B$10:$B$87,0),MATCH(Table1[[#This Row],[CAPACITY]],'OUTCOME MODEL'!$C$9:$H$9))</f>
        <v>0.23969526253268814</v>
      </c>
      <c r="F214" s="58">
        <f t="array" ref="F214">+INDEX('OUTCOME MODEL'!$I$10:$N$87,MATCH(Table1[[#This Row],[DRIVERS]]&amp;Table1[[#This Row],[DEMAND]],'OUTCOME MODEL'!$A$10:$A$87&amp;'OUTCOME MODEL'!$B$10:$B$87,0),MATCH(Table1[[#This Row],[CAPACITY]],'OUTCOME MODEL'!$I$9:$N$9))</f>
        <v>0.97399999999999998</v>
      </c>
      <c r="G214" s="60">
        <f t="array" ref="G214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215" spans="1:7" x14ac:dyDescent="0.35">
      <c r="A215" s="45">
        <v>5</v>
      </c>
      <c r="B215" s="22">
        <v>3</v>
      </c>
      <c r="C215">
        <v>2</v>
      </c>
      <c r="D215" s="46">
        <f t="array" ref="D215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15" s="58">
        <f t="array" ref="E215">+INDEX('OUTCOME MODEL'!$C$10:$H$87,MATCH(Table1[[#This Row],[DRIVERS]]&amp;Table1[[#This Row],[DEMAND]],'OUTCOME MODEL'!$A$10:$A$87&amp;'OUTCOME MODEL'!$B$10:$B$87,0),MATCH(Table1[[#This Row],[CAPACITY]],'OUTCOME MODEL'!$C$9:$H$9))</f>
        <v>0.35001054095398842</v>
      </c>
      <c r="F215" s="58">
        <f t="array" ref="F215">+INDEX('OUTCOME MODEL'!$I$10:$N$87,MATCH(Table1[[#This Row],[DRIVERS]]&amp;Table1[[#This Row],[DEMAND]],'OUTCOME MODEL'!$A$10:$A$87&amp;'OUTCOME MODEL'!$B$10:$B$87,0),MATCH(Table1[[#This Row],[CAPACITY]],'OUTCOME MODEL'!$I$9:$N$9))</f>
        <v>0.96299999999999997</v>
      </c>
      <c r="G215" s="60">
        <f t="array" ref="G215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216" spans="1:7" x14ac:dyDescent="0.35">
      <c r="A216" s="45">
        <v>5</v>
      </c>
      <c r="B216" s="22">
        <v>4</v>
      </c>
      <c r="C216">
        <v>2</v>
      </c>
      <c r="D216" s="46">
        <f t="array" ref="D216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16" s="58">
        <f t="array" ref="E216">+INDEX('OUTCOME MODEL'!$C$10:$H$87,MATCH(Table1[[#This Row],[DRIVERS]]&amp;Table1[[#This Row],[DEMAND]],'OUTCOME MODEL'!$A$10:$A$87&amp;'OUTCOME MODEL'!$B$10:$B$87,0),MATCH(Table1[[#This Row],[CAPACITY]],'OUTCOME MODEL'!$C$9:$H$9))</f>
        <v>0.45360757365599991</v>
      </c>
      <c r="F216" s="58">
        <f t="array" ref="F216">+INDEX('OUTCOME MODEL'!$I$10:$N$87,MATCH(Table1[[#This Row],[DRIVERS]]&amp;Table1[[#This Row],[DEMAND]],'OUTCOME MODEL'!$A$10:$A$87&amp;'OUTCOME MODEL'!$B$10:$B$87,0),MATCH(Table1[[#This Row],[CAPACITY]],'OUTCOME MODEL'!$I$9:$N$9))</f>
        <v>0.95299999999999996</v>
      </c>
      <c r="G216" s="60">
        <f t="array" ref="G216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217" spans="1:7" x14ac:dyDescent="0.35">
      <c r="A217" s="45">
        <v>5</v>
      </c>
      <c r="B217" s="22">
        <v>5</v>
      </c>
      <c r="C217">
        <v>2</v>
      </c>
      <c r="D217" s="46">
        <f t="array" ref="D217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17" s="58">
        <f t="array" ref="E217">+INDEX('OUTCOME MODEL'!$C$10:$H$87,MATCH(Table1[[#This Row],[DRIVERS]]&amp;Table1[[#This Row],[DEMAND]],'OUTCOME MODEL'!$A$10:$A$87&amp;'OUTCOME MODEL'!$B$10:$B$87,0),MATCH(Table1[[#This Row],[CAPACITY]],'OUTCOME MODEL'!$C$9:$H$9))</f>
        <v>0.55066931820104115</v>
      </c>
      <c r="F217" s="58">
        <f t="array" ref="F217">+INDEX('OUTCOME MODEL'!$I$10:$N$87,MATCH(Table1[[#This Row],[DRIVERS]]&amp;Table1[[#This Row],[DEMAND]],'OUTCOME MODEL'!$A$10:$A$87&amp;'OUTCOME MODEL'!$B$10:$B$87,0),MATCH(Table1[[#This Row],[CAPACITY]],'OUTCOME MODEL'!$I$9:$N$9))</f>
        <v>0.94699999999999995</v>
      </c>
      <c r="G217" s="60">
        <f t="array" ref="G21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18" spans="1:7" x14ac:dyDescent="0.35">
      <c r="A218" s="45">
        <v>5</v>
      </c>
      <c r="B218" s="22">
        <v>6</v>
      </c>
      <c r="C218">
        <v>2</v>
      </c>
      <c r="D218" s="46">
        <f t="array" ref="D218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218" s="58">
        <f t="array" ref="E218">+INDEX('OUTCOME MODEL'!$C$10:$H$87,MATCH(Table1[[#This Row],[DRIVERS]]&amp;Table1[[#This Row],[DEMAND]],'OUTCOME MODEL'!$A$10:$A$87&amp;'OUTCOME MODEL'!$B$10:$B$87,0),MATCH(Table1[[#This Row],[CAPACITY]],'OUTCOME MODEL'!$C$9:$H$9))</f>
        <v>0.63830234482942461</v>
      </c>
      <c r="F218" s="58">
        <f t="array" ref="F218">+INDEX('OUTCOME MODEL'!$I$10:$N$87,MATCH(Table1[[#This Row],[DRIVERS]]&amp;Table1[[#This Row],[DEMAND]],'OUTCOME MODEL'!$A$10:$A$87&amp;'OUTCOME MODEL'!$B$10:$B$87,0),MATCH(Table1[[#This Row],[CAPACITY]],'OUTCOME MODEL'!$I$9:$N$9))</f>
        <v>0.94199999999999995</v>
      </c>
      <c r="G218" s="60">
        <f t="array" ref="G218">+INDEX('OUTCOME MODEL'!$O$10:$T$87,MATCH(Table1[[#This Row],[DRIVERS]]&amp;Table1[[#This Row],[DEMAND]],'OUTCOME MODEL'!$A$10:$A$87&amp;'OUTCOME MODEL'!$B$10:$B$87,0),MATCH(Table1[[#This Row],[CAPACITY]],'OUTCOME MODEL'!$O$9:$T$9))</f>
        <v>1.2</v>
      </c>
    </row>
    <row r="219" spans="1:7" x14ac:dyDescent="0.35">
      <c r="A219" s="19">
        <v>5</v>
      </c>
      <c r="B219" s="20">
        <v>7</v>
      </c>
      <c r="C219">
        <v>2</v>
      </c>
      <c r="D219" s="46">
        <f t="array" ref="D219">+INDEX('OUTCOME MODEL'!$U$10:$Z$87,MATCH(Table1[[#This Row],[DRIVERS]]&amp;Table1[[#This Row],[DEMAND]],'OUTCOME MODEL'!$A$10:$A$87&amp;'OUTCOME MODEL'!$B$10:$B$87,0),MATCH(Table1[[#This Row],[CAPACITY]],'OUTCOME MODEL'!$U$9:$Z$9))</f>
        <v>61.250000000000007</v>
      </c>
      <c r="E219" s="58">
        <f t="array" ref="E219">+INDEX('OUTCOME MODEL'!$C$10:$H$87,MATCH(Table1[[#This Row],[DRIVERS]]&amp;Table1[[#This Row],[DEMAND]],'OUTCOME MODEL'!$A$10:$A$87&amp;'OUTCOME MODEL'!$B$10:$B$87,0),MATCH(Table1[[#This Row],[CAPACITY]],'OUTCOME MODEL'!$C$9:$H$9))</f>
        <v>0.70826444062475746</v>
      </c>
      <c r="F219" s="58">
        <f t="array" ref="F219">+INDEX('OUTCOME MODEL'!$I$10:$N$87,MATCH(Table1[[#This Row],[DRIVERS]]&amp;Table1[[#This Row],[DEMAND]],'OUTCOME MODEL'!$A$10:$A$87&amp;'OUTCOME MODEL'!$B$10:$B$87,0),MATCH(Table1[[#This Row],[CAPACITY]],'OUTCOME MODEL'!$I$9:$N$9))</f>
        <v>0.90900000000000003</v>
      </c>
      <c r="G219" s="60">
        <f t="array" ref="G219">+INDEX('OUTCOME MODEL'!$O$10:$T$87,MATCH(Table1[[#This Row],[DRIVERS]]&amp;Table1[[#This Row],[DEMAND]],'OUTCOME MODEL'!$A$10:$A$87&amp;'OUTCOME MODEL'!$B$10:$B$87,0),MATCH(Table1[[#This Row],[CAPACITY]],'OUTCOME MODEL'!$O$9:$T$9))</f>
        <v>1.4</v>
      </c>
    </row>
    <row r="220" spans="1:7" x14ac:dyDescent="0.35">
      <c r="A220" s="45">
        <v>5</v>
      </c>
      <c r="B220" s="22">
        <v>8</v>
      </c>
      <c r="C220">
        <v>2</v>
      </c>
      <c r="D220" s="46">
        <f t="array" ref="D220">+INDEX('OUTCOME MODEL'!$U$10:$Z$87,MATCH(Table1[[#This Row],[DRIVERS]]&amp;Table1[[#This Row],[DEMAND]],'OUTCOME MODEL'!$A$10:$A$87&amp;'OUTCOME MODEL'!$B$10:$B$87,0),MATCH(Table1[[#This Row],[CAPACITY]],'OUTCOME MODEL'!$U$9:$Z$9))</f>
        <v>67.272561770839303</v>
      </c>
      <c r="E220" s="58">
        <f t="array" ref="E220">+INDEX('OUTCOME MODEL'!$C$10:$H$87,MATCH(Table1[[#This Row],[DRIVERS]]&amp;Table1[[#This Row],[DEMAND]],'OUTCOME MODEL'!$A$10:$A$87&amp;'OUTCOME MODEL'!$B$10:$B$87,0),MATCH(Table1[[#This Row],[CAPACITY]],'OUTCOME MODEL'!$C$9:$H$9))</f>
        <v>0.7688292773810208</v>
      </c>
      <c r="F220" s="58">
        <f t="array" ref="F220">+INDEX('OUTCOME MODEL'!$I$10:$N$87,MATCH(Table1[[#This Row],[DRIVERS]]&amp;Table1[[#This Row],[DEMAND]],'OUTCOME MODEL'!$A$10:$A$87&amp;'OUTCOME MODEL'!$B$10:$B$87,0),MATCH(Table1[[#This Row],[CAPACITY]],'OUTCOME MODEL'!$I$9:$N$9))</f>
        <v>0.86499999999999999</v>
      </c>
      <c r="G220" s="60">
        <f t="array" ref="G220">+INDEX('OUTCOME MODEL'!$O$10:$T$87,MATCH(Table1[[#This Row],[DRIVERS]]&amp;Table1[[#This Row],[DEMAND]],'OUTCOME MODEL'!$A$10:$A$87&amp;'OUTCOME MODEL'!$B$10:$B$87,0),MATCH(Table1[[#This Row],[CAPACITY]],'OUTCOME MODEL'!$O$9:$T$9))</f>
        <v>1.5376585547620416</v>
      </c>
    </row>
    <row r="221" spans="1:7" x14ac:dyDescent="0.35">
      <c r="A221" s="45">
        <v>5</v>
      </c>
      <c r="B221" s="22">
        <v>9</v>
      </c>
      <c r="C221">
        <v>2</v>
      </c>
      <c r="D221" s="46">
        <f t="array" ref="D221">+INDEX('OUTCOME MODEL'!$U$10:$Z$87,MATCH(Table1[[#This Row],[DRIVERS]]&amp;Table1[[#This Row],[DEMAND]],'OUTCOME MODEL'!$A$10:$A$87&amp;'OUTCOME MODEL'!$B$10:$B$87,0),MATCH(Table1[[#This Row],[CAPACITY]],'OUTCOME MODEL'!$U$9:$Z$9))</f>
        <v>71.262233480541255</v>
      </c>
      <c r="E221" s="58">
        <f t="array" ref="E221">+INDEX('OUTCOME MODEL'!$C$10:$H$87,MATCH(Table1[[#This Row],[DRIVERS]]&amp;Table1[[#This Row],[DEMAND]],'OUTCOME MODEL'!$A$10:$A$87&amp;'OUTCOME MODEL'!$B$10:$B$87,0),MATCH(Table1[[#This Row],[CAPACITY]],'OUTCOME MODEL'!$C$9:$H$9))</f>
        <v>0.81442552549189984</v>
      </c>
      <c r="F221" s="58">
        <f t="array" ref="F221">+INDEX('OUTCOME MODEL'!$I$10:$N$87,MATCH(Table1[[#This Row],[DRIVERS]]&amp;Table1[[#This Row],[DEMAND]],'OUTCOME MODEL'!$A$10:$A$87&amp;'OUTCOME MODEL'!$B$10:$B$87,0),MATCH(Table1[[#This Row],[CAPACITY]],'OUTCOME MODEL'!$I$9:$N$9))</f>
        <v>0.84399999999999997</v>
      </c>
      <c r="G221" s="60">
        <f t="array" ref="G221">+INDEX('OUTCOME MODEL'!$O$10:$T$87,MATCH(Table1[[#This Row],[DRIVERS]]&amp;Table1[[#This Row],[DEMAND]],'OUTCOME MODEL'!$A$10:$A$87&amp;'OUTCOME MODEL'!$B$10:$B$87,0),MATCH(Table1[[#This Row],[CAPACITY]],'OUTCOME MODEL'!$O$9:$T$9))</f>
        <v>1.6288510509837997</v>
      </c>
    </row>
    <row r="222" spans="1:7" x14ac:dyDescent="0.35">
      <c r="A222" s="45">
        <v>5</v>
      </c>
      <c r="B222" s="22">
        <v>10</v>
      </c>
      <c r="C222">
        <v>2</v>
      </c>
      <c r="D222" s="46">
        <f t="array" ref="D222">+INDEX('OUTCOME MODEL'!$U$10:$Z$87,MATCH(Table1[[#This Row],[DRIVERS]]&amp;Table1[[#This Row],[DEMAND]],'OUTCOME MODEL'!$A$10:$A$87&amp;'OUTCOME MODEL'!$B$10:$B$87,0),MATCH(Table1[[#This Row],[CAPACITY]],'OUTCOME MODEL'!$U$9:$Z$9))</f>
        <v>74.690467734983173</v>
      </c>
      <c r="E222" s="58">
        <f t="array" ref="E222">+INDEX('OUTCOME MODEL'!$C$10:$H$87,MATCH(Table1[[#This Row],[DRIVERS]]&amp;Table1[[#This Row],[DEMAND]],'OUTCOME MODEL'!$A$10:$A$87&amp;'OUTCOME MODEL'!$B$10:$B$87,0),MATCH(Table1[[#This Row],[CAPACITY]],'OUTCOME MODEL'!$C$9:$H$9))</f>
        <v>0.85360534554266487</v>
      </c>
      <c r="F222" s="58">
        <f t="array" ref="F222">+INDEX('OUTCOME MODEL'!$I$10:$N$87,MATCH(Table1[[#This Row],[DRIVERS]]&amp;Table1[[#This Row],[DEMAND]],'OUTCOME MODEL'!$A$10:$A$87&amp;'OUTCOME MODEL'!$B$10:$B$87,0),MATCH(Table1[[#This Row],[CAPACITY]],'OUTCOME MODEL'!$I$9:$N$9))</f>
        <v>0.82</v>
      </c>
      <c r="G222" s="60">
        <f t="array" ref="G222">+INDEX('OUTCOME MODEL'!$O$10:$T$87,MATCH(Table1[[#This Row],[DRIVERS]]&amp;Table1[[#This Row],[DEMAND]],'OUTCOME MODEL'!$A$10:$A$87&amp;'OUTCOME MODEL'!$B$10:$B$87,0),MATCH(Table1[[#This Row],[CAPACITY]],'OUTCOME MODEL'!$O$9:$T$9))</f>
        <v>1.7072106910853297</v>
      </c>
    </row>
    <row r="223" spans="1:7" x14ac:dyDescent="0.35">
      <c r="A223" s="45">
        <v>5</v>
      </c>
      <c r="B223" s="22">
        <v>11</v>
      </c>
      <c r="C223">
        <v>2</v>
      </c>
      <c r="D223" s="46">
        <f t="array" ref="D223">+INDEX('OUTCOME MODEL'!$U$10:$Z$87,MATCH(Table1[[#This Row],[DRIVERS]]&amp;Table1[[#This Row],[DEMAND]],'OUTCOME MODEL'!$A$10:$A$87&amp;'OUTCOME MODEL'!$B$10:$B$87,0),MATCH(Table1[[#This Row],[CAPACITY]],'OUTCOME MODEL'!$U$9:$Z$9))</f>
        <v>77.044939034821311</v>
      </c>
      <c r="E223" s="58">
        <f t="array" ref="E223">+INDEX('OUTCOME MODEL'!$C$10:$H$87,MATCH(Table1[[#This Row],[DRIVERS]]&amp;Table1[[#This Row],[DEMAND]],'OUTCOME MODEL'!$A$10:$A$87&amp;'OUTCOME MODEL'!$B$10:$B$87,0),MATCH(Table1[[#This Row],[CAPACITY]],'OUTCOME MODEL'!$C$9:$H$9))</f>
        <v>0.88051358896938636</v>
      </c>
      <c r="F223" s="58">
        <f t="array" ref="F223">+INDEX('OUTCOME MODEL'!$I$10:$N$87,MATCH(Table1[[#This Row],[DRIVERS]]&amp;Table1[[#This Row],[DEMAND]],'OUTCOME MODEL'!$A$10:$A$87&amp;'OUTCOME MODEL'!$B$10:$B$87,0),MATCH(Table1[[#This Row],[CAPACITY]],'OUTCOME MODEL'!$I$9:$N$9))</f>
        <v>0.77700000000000002</v>
      </c>
      <c r="G223" s="60">
        <f t="array" ref="G223">+INDEX('OUTCOME MODEL'!$O$10:$T$87,MATCH(Table1[[#This Row],[DRIVERS]]&amp;Table1[[#This Row],[DEMAND]],'OUTCOME MODEL'!$A$10:$A$87&amp;'OUTCOME MODEL'!$B$10:$B$87,0),MATCH(Table1[[#This Row],[CAPACITY]],'OUTCOME MODEL'!$O$9:$T$9))</f>
        <v>1.7610271779387727</v>
      </c>
    </row>
    <row r="224" spans="1:7" x14ac:dyDescent="0.35">
      <c r="A224" s="45">
        <v>5</v>
      </c>
      <c r="B224" s="22">
        <v>12</v>
      </c>
      <c r="C224">
        <v>2</v>
      </c>
      <c r="D224" s="46">
        <f t="array" ref="D224">+INDEX('OUTCOME MODEL'!$U$10:$Z$87,MATCH(Table1[[#This Row],[DRIVERS]]&amp;Table1[[#This Row],[DEMAND]],'OUTCOME MODEL'!$A$10:$A$87&amp;'OUTCOME MODEL'!$B$10:$B$87,0),MATCH(Table1[[#This Row],[CAPACITY]],'OUTCOME MODEL'!$U$9:$Z$9))</f>
        <v>79.482510761845077</v>
      </c>
      <c r="E224" s="58">
        <f t="array" ref="E224">+INDEX('OUTCOME MODEL'!$C$10:$H$87,MATCH(Table1[[#This Row],[DRIVERS]]&amp;Table1[[#This Row],[DEMAND]],'OUTCOME MODEL'!$A$10:$A$87&amp;'OUTCOME MODEL'!$B$10:$B$87,0),MATCH(Table1[[#This Row],[CAPACITY]],'OUTCOME MODEL'!$C$9:$H$9))</f>
        <v>0.90837155156394367</v>
      </c>
      <c r="F224" s="58">
        <f t="array" ref="F224">+INDEX('OUTCOME MODEL'!$I$10:$N$87,MATCH(Table1[[#This Row],[DRIVERS]]&amp;Table1[[#This Row],[DEMAND]],'OUTCOME MODEL'!$A$10:$A$87&amp;'OUTCOME MODEL'!$B$10:$B$87,0),MATCH(Table1[[#This Row],[CAPACITY]],'OUTCOME MODEL'!$I$9:$N$9))</f>
        <v>0.73</v>
      </c>
      <c r="G224" s="60">
        <f t="array" ref="G224">+INDEX('OUTCOME MODEL'!$O$10:$T$87,MATCH(Table1[[#This Row],[DRIVERS]]&amp;Table1[[#This Row],[DEMAND]],'OUTCOME MODEL'!$A$10:$A$87&amp;'OUTCOME MODEL'!$B$10:$B$87,0),MATCH(Table1[[#This Row],[CAPACITY]],'OUTCOME MODEL'!$O$9:$T$9))</f>
        <v>1.8167431031278873</v>
      </c>
    </row>
    <row r="225" spans="1:7" x14ac:dyDescent="0.35">
      <c r="A225" s="48">
        <v>6</v>
      </c>
      <c r="B225" s="49">
        <v>0</v>
      </c>
      <c r="C225">
        <v>2</v>
      </c>
      <c r="D225" s="46">
        <f t="array" ref="D225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25" s="58">
        <f t="array" ref="E225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25" s="58">
        <f t="array" ref="F22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25" s="60">
        <f t="array" ref="G225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26" spans="1:7" x14ac:dyDescent="0.35">
      <c r="A226" s="45">
        <v>6</v>
      </c>
      <c r="B226" s="22">
        <v>1</v>
      </c>
      <c r="C226">
        <v>2</v>
      </c>
      <c r="D226" s="46">
        <f t="array" ref="D226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26" s="58">
        <f t="array" ref="E226">+INDEX('OUTCOME MODEL'!$C$10:$H$87,MATCH(Table1[[#This Row],[DRIVERS]]&amp;Table1[[#This Row],[DEMAND]],'OUTCOME MODEL'!$A$10:$A$87&amp;'OUTCOME MODEL'!$B$10:$B$87,0),MATCH(Table1[[#This Row],[CAPACITY]],'OUTCOME MODEL'!$C$9:$H$9))</f>
        <v>9.9877461882173044E-2</v>
      </c>
      <c r="F226" s="58">
        <f t="array" ref="F226">+INDEX('OUTCOME MODEL'!$I$10:$N$87,MATCH(Table1[[#This Row],[DRIVERS]]&amp;Table1[[#This Row],[DEMAND]],'OUTCOME MODEL'!$A$10:$A$87&amp;'OUTCOME MODEL'!$B$10:$B$87,0),MATCH(Table1[[#This Row],[CAPACITY]],'OUTCOME MODEL'!$I$9:$N$9))</f>
        <v>0.96799999999999997</v>
      </c>
      <c r="G226" s="60">
        <f t="array" ref="G226">+INDEX('OUTCOME MODEL'!$O$10:$T$87,MATCH(Table1[[#This Row],[DRIVERS]]&amp;Table1[[#This Row],[DEMAND]],'OUTCOME MODEL'!$A$10:$A$87&amp;'OUTCOME MODEL'!$B$10:$B$87,0),MATCH(Table1[[#This Row],[CAPACITY]],'OUTCOME MODEL'!$O$9:$T$9))</f>
        <v>0.16666666666666666</v>
      </c>
    </row>
    <row r="227" spans="1:7" x14ac:dyDescent="0.35">
      <c r="A227" s="45">
        <v>6</v>
      </c>
      <c r="B227" s="22">
        <v>2</v>
      </c>
      <c r="C227">
        <v>2</v>
      </c>
      <c r="D227" s="46">
        <f t="array" ref="D227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27" s="58">
        <f t="array" ref="E227">+INDEX('OUTCOME MODEL'!$C$10:$H$87,MATCH(Table1[[#This Row],[DRIVERS]]&amp;Table1[[#This Row],[DEMAND]],'OUTCOME MODEL'!$A$10:$A$87&amp;'OUTCOME MODEL'!$B$10:$B$87,0),MATCH(Table1[[#This Row],[CAPACITY]],'OUTCOME MODEL'!$C$9:$H$9))</f>
        <v>0.19887415894610075</v>
      </c>
      <c r="F227" s="58">
        <f t="array" ref="F227">+INDEX('OUTCOME MODEL'!$I$10:$N$87,MATCH(Table1[[#This Row],[DRIVERS]]&amp;Table1[[#This Row],[DEMAND]],'OUTCOME MODEL'!$A$10:$A$87&amp;'OUTCOME MODEL'!$B$10:$B$87,0),MATCH(Table1[[#This Row],[CAPACITY]],'OUTCOME MODEL'!$I$9:$N$9))</f>
        <v>0.97699999999999998</v>
      </c>
      <c r="G227" s="60">
        <f t="array" ref="G227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228" spans="1:7" x14ac:dyDescent="0.35">
      <c r="A228" s="45">
        <v>6</v>
      </c>
      <c r="B228" s="22">
        <v>3</v>
      </c>
      <c r="C228">
        <v>2</v>
      </c>
      <c r="D228" s="46">
        <f t="array" ref="D228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28" s="58">
        <f t="array" ref="E228">+INDEX('OUTCOME MODEL'!$C$10:$H$87,MATCH(Table1[[#This Row],[DRIVERS]]&amp;Table1[[#This Row],[DEMAND]],'OUTCOME MODEL'!$A$10:$A$87&amp;'OUTCOME MODEL'!$B$10:$B$87,0),MATCH(Table1[[#This Row],[CAPACITY]],'OUTCOME MODEL'!$C$9:$H$9))</f>
        <v>0.29322783863962343</v>
      </c>
      <c r="F228" s="58">
        <f t="array" ref="F228">+INDEX('OUTCOME MODEL'!$I$10:$N$87,MATCH(Table1[[#This Row],[DRIVERS]]&amp;Table1[[#This Row],[DEMAND]],'OUTCOME MODEL'!$A$10:$A$87&amp;'OUTCOME MODEL'!$B$10:$B$87,0),MATCH(Table1[[#This Row],[CAPACITY]],'OUTCOME MODEL'!$I$9:$N$9))</f>
        <v>0.96</v>
      </c>
      <c r="G228" s="60">
        <f t="array" ref="G228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229" spans="1:7" x14ac:dyDescent="0.35">
      <c r="A229" s="45">
        <v>6</v>
      </c>
      <c r="B229" s="22">
        <v>4</v>
      </c>
      <c r="C229">
        <v>2</v>
      </c>
      <c r="D229" s="46">
        <f t="array" ref="D229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29" s="58">
        <f t="array" ref="E229">+INDEX('OUTCOME MODEL'!$C$10:$H$87,MATCH(Table1[[#This Row],[DRIVERS]]&amp;Table1[[#This Row],[DEMAND]],'OUTCOME MODEL'!$A$10:$A$87&amp;'OUTCOME MODEL'!$B$10:$B$87,0),MATCH(Table1[[#This Row],[CAPACITY]],'OUTCOME MODEL'!$C$9:$H$9))</f>
        <v>0.38333219647516309</v>
      </c>
      <c r="F229" s="58">
        <f t="array" ref="F229">+INDEX('OUTCOME MODEL'!$I$10:$N$87,MATCH(Table1[[#This Row],[DRIVERS]]&amp;Table1[[#This Row],[DEMAND]],'OUTCOME MODEL'!$A$10:$A$87&amp;'OUTCOME MODEL'!$B$10:$B$87,0),MATCH(Table1[[#This Row],[CAPACITY]],'OUTCOME MODEL'!$I$9:$N$9))</f>
        <v>0.97199999999999998</v>
      </c>
      <c r="G229" s="60">
        <f t="array" ref="G229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230" spans="1:7" x14ac:dyDescent="0.35">
      <c r="A230" s="45">
        <v>6</v>
      </c>
      <c r="B230" s="22">
        <v>5</v>
      </c>
      <c r="C230">
        <v>2</v>
      </c>
      <c r="D230" s="46">
        <f t="array" ref="D230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30" s="58">
        <f t="array" ref="E230">+INDEX('OUTCOME MODEL'!$C$10:$H$87,MATCH(Table1[[#This Row],[DRIVERS]]&amp;Table1[[#This Row],[DEMAND]],'OUTCOME MODEL'!$A$10:$A$87&amp;'OUTCOME MODEL'!$B$10:$B$87,0),MATCH(Table1[[#This Row],[CAPACITY]],'OUTCOME MODEL'!$C$9:$H$9))</f>
        <v>0.46497450852030814</v>
      </c>
      <c r="F230" s="58">
        <f t="array" ref="F230">+INDEX('OUTCOME MODEL'!$I$10:$N$87,MATCH(Table1[[#This Row],[DRIVERS]]&amp;Table1[[#This Row],[DEMAND]],'OUTCOME MODEL'!$A$10:$A$87&amp;'OUTCOME MODEL'!$B$10:$B$87,0),MATCH(Table1[[#This Row],[CAPACITY]],'OUTCOME MODEL'!$I$9:$N$9))</f>
        <v>0.96399999999999997</v>
      </c>
      <c r="G230" s="60">
        <f t="array" ref="G230">+INDEX('OUTCOME MODEL'!$O$10:$T$87,MATCH(Table1[[#This Row],[DRIVERS]]&amp;Table1[[#This Row],[DEMAND]],'OUTCOME MODEL'!$A$10:$A$87&amp;'OUTCOME MODEL'!$B$10:$B$87,0),MATCH(Table1[[#This Row],[CAPACITY]],'OUTCOME MODEL'!$O$9:$T$9))</f>
        <v>0.83333333333333337</v>
      </c>
    </row>
    <row r="231" spans="1:7" x14ac:dyDescent="0.35">
      <c r="A231" s="19">
        <v>6</v>
      </c>
      <c r="B231" s="20">
        <v>6</v>
      </c>
      <c r="C231">
        <v>2</v>
      </c>
      <c r="D231" s="46">
        <f t="array" ref="D231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231" s="58">
        <f t="array" ref="E231">+INDEX('OUTCOME MODEL'!$C$10:$H$87,MATCH(Table1[[#This Row],[DRIVERS]]&amp;Table1[[#This Row],[DEMAND]],'OUTCOME MODEL'!$A$10:$A$87&amp;'OUTCOME MODEL'!$B$10:$B$87,0),MATCH(Table1[[#This Row],[CAPACITY]],'OUTCOME MODEL'!$C$9:$H$9))</f>
        <v>0.54191586028306282</v>
      </c>
      <c r="F231" s="58">
        <f t="array" ref="F231">+INDEX('OUTCOME MODEL'!$I$10:$N$87,MATCH(Table1[[#This Row],[DRIVERS]]&amp;Table1[[#This Row],[DEMAND]],'OUTCOME MODEL'!$A$10:$A$87&amp;'OUTCOME MODEL'!$B$10:$B$87,0),MATCH(Table1[[#This Row],[CAPACITY]],'OUTCOME MODEL'!$I$9:$N$9))</f>
        <v>0.96699999999999997</v>
      </c>
      <c r="G231" s="60">
        <f t="array" ref="G23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32" spans="1:7" x14ac:dyDescent="0.35">
      <c r="A232" s="45">
        <v>6</v>
      </c>
      <c r="B232" s="22">
        <v>7</v>
      </c>
      <c r="C232">
        <v>2</v>
      </c>
      <c r="D232" s="46">
        <f t="array" ref="D232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232" s="58">
        <f t="array" ref="E232">+INDEX('OUTCOME MODEL'!$C$10:$H$87,MATCH(Table1[[#This Row],[DRIVERS]]&amp;Table1[[#This Row],[DEMAND]],'OUTCOME MODEL'!$A$10:$A$87&amp;'OUTCOME MODEL'!$B$10:$B$87,0),MATCH(Table1[[#This Row],[CAPACITY]],'OUTCOME MODEL'!$C$9:$H$9))</f>
        <v>0.61384500063226666</v>
      </c>
      <c r="F232" s="58">
        <f t="array" ref="F232">+INDEX('OUTCOME MODEL'!$I$10:$N$87,MATCH(Table1[[#This Row],[DRIVERS]]&amp;Table1[[#This Row],[DEMAND]],'OUTCOME MODEL'!$A$10:$A$87&amp;'OUTCOME MODEL'!$B$10:$B$87,0),MATCH(Table1[[#This Row],[CAPACITY]],'OUTCOME MODEL'!$I$9:$N$9))</f>
        <v>0.95599999999999996</v>
      </c>
      <c r="G232" s="60">
        <f t="array" ref="G232">+INDEX('OUTCOME MODEL'!$O$10:$T$87,MATCH(Table1[[#This Row],[DRIVERS]]&amp;Table1[[#This Row],[DEMAND]],'OUTCOME MODEL'!$A$10:$A$87&amp;'OUTCOME MODEL'!$B$10:$B$87,0),MATCH(Table1[[#This Row],[CAPACITY]],'OUTCOME MODEL'!$O$9:$T$9))</f>
        <v>1.1666666666666667</v>
      </c>
    </row>
    <row r="233" spans="1:7" x14ac:dyDescent="0.35">
      <c r="A233" s="45">
        <v>6</v>
      </c>
      <c r="B233" s="22">
        <v>8</v>
      </c>
      <c r="C233">
        <v>2</v>
      </c>
      <c r="D233" s="46">
        <f t="array" ref="D233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233" s="58">
        <f t="array" ref="E233">+INDEX('OUTCOME MODEL'!$C$10:$H$87,MATCH(Table1[[#This Row],[DRIVERS]]&amp;Table1[[#This Row],[DEMAND]],'OUTCOME MODEL'!$A$10:$A$87&amp;'OUTCOME MODEL'!$B$10:$B$87,0),MATCH(Table1[[#This Row],[CAPACITY]],'OUTCOME MODEL'!$C$9:$H$9))</f>
        <v>0.67576195081477086</v>
      </c>
      <c r="F233" s="58">
        <f t="array" ref="F233">+INDEX('OUTCOME MODEL'!$I$10:$N$87,MATCH(Table1[[#This Row],[DRIVERS]]&amp;Table1[[#This Row],[DEMAND]],'OUTCOME MODEL'!$A$10:$A$87&amp;'OUTCOME MODEL'!$B$10:$B$87,0),MATCH(Table1[[#This Row],[CAPACITY]],'OUTCOME MODEL'!$I$9:$N$9))</f>
        <v>0.92500000000000004</v>
      </c>
      <c r="G233" s="60">
        <f t="array" ref="G233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234" spans="1:7" x14ac:dyDescent="0.35">
      <c r="A234" s="45">
        <v>6</v>
      </c>
      <c r="B234" s="22">
        <v>9</v>
      </c>
      <c r="C234">
        <v>2</v>
      </c>
      <c r="D234" s="46">
        <f t="array" ref="D234">+INDEX('OUTCOME MODEL'!$U$10:$Z$87,MATCH(Table1[[#This Row],[DRIVERS]]&amp;Table1[[#This Row],[DEMAND]],'OUTCOME MODEL'!$A$10:$A$87&amp;'OUTCOME MODEL'!$B$10:$B$87,0),MATCH(Table1[[#This Row],[CAPACITY]],'OUTCOME MODEL'!$U$9:$Z$9))</f>
        <v>76.343714103031743</v>
      </c>
      <c r="E234" s="58">
        <f t="array" ref="E234">+INDEX('OUTCOME MODEL'!$C$10:$H$87,MATCH(Table1[[#This Row],[DRIVERS]]&amp;Table1[[#This Row],[DEMAND]],'OUTCOME MODEL'!$A$10:$A$87&amp;'OUTCOME MODEL'!$B$10:$B$87,0),MATCH(Table1[[#This Row],[CAPACITY]],'OUTCOME MODEL'!$C$9:$H$9))</f>
        <v>0.72708299145744515</v>
      </c>
      <c r="F234" s="58">
        <f t="array" ref="F234">+INDEX('OUTCOME MODEL'!$I$10:$N$87,MATCH(Table1[[#This Row],[DRIVERS]]&amp;Table1[[#This Row],[DEMAND]],'OUTCOME MODEL'!$A$10:$A$87&amp;'OUTCOME MODEL'!$B$10:$B$87,0),MATCH(Table1[[#This Row],[CAPACITY]],'OUTCOME MODEL'!$I$9:$N$9))</f>
        <v>0.89300000000000002</v>
      </c>
      <c r="G234" s="60">
        <f t="array" ref="G234">+INDEX('OUTCOME MODEL'!$O$10:$T$87,MATCH(Table1[[#This Row],[DRIVERS]]&amp;Table1[[#This Row],[DEMAND]],'OUTCOME MODEL'!$A$10:$A$87&amp;'OUTCOME MODEL'!$B$10:$B$87,0),MATCH(Table1[[#This Row],[CAPACITY]],'OUTCOME MODEL'!$O$9:$T$9))</f>
        <v>1.4541659829148903</v>
      </c>
    </row>
    <row r="235" spans="1:7" x14ac:dyDescent="0.35">
      <c r="A235" s="45">
        <v>6</v>
      </c>
      <c r="B235" s="22">
        <v>10</v>
      </c>
      <c r="C235">
        <v>2</v>
      </c>
      <c r="D235" s="46">
        <f t="array" ref="D235">+INDEX('OUTCOME MODEL'!$U$10:$Z$87,MATCH(Table1[[#This Row],[DRIVERS]]&amp;Table1[[#This Row],[DEMAND]],'OUTCOME MODEL'!$A$10:$A$87&amp;'OUTCOME MODEL'!$B$10:$B$87,0),MATCH(Table1[[#This Row],[CAPACITY]],'OUTCOME MODEL'!$U$9:$Z$9))</f>
        <v>81.519565387399581</v>
      </c>
      <c r="E235" s="58">
        <f t="array" ref="E235">+INDEX('OUTCOME MODEL'!$C$10:$H$87,MATCH(Table1[[#This Row],[DRIVERS]]&amp;Table1[[#This Row],[DEMAND]],'OUTCOME MODEL'!$A$10:$A$87&amp;'OUTCOME MODEL'!$B$10:$B$87,0),MATCH(Table1[[#This Row],[CAPACITY]],'OUTCOME MODEL'!$C$9:$H$9))</f>
        <v>0.77637681321332941</v>
      </c>
      <c r="F235" s="58">
        <f t="array" ref="F235">+INDEX('OUTCOME MODEL'!$I$10:$N$87,MATCH(Table1[[#This Row],[DRIVERS]]&amp;Table1[[#This Row],[DEMAND]],'OUTCOME MODEL'!$A$10:$A$87&amp;'OUTCOME MODEL'!$B$10:$B$87,0),MATCH(Table1[[#This Row],[CAPACITY]],'OUTCOME MODEL'!$I$9:$N$9))</f>
        <v>0.875</v>
      </c>
      <c r="G235" s="60">
        <f t="array" ref="G235">+INDEX('OUTCOME MODEL'!$O$10:$T$87,MATCH(Table1[[#This Row],[DRIVERS]]&amp;Table1[[#This Row],[DEMAND]],'OUTCOME MODEL'!$A$10:$A$87&amp;'OUTCOME MODEL'!$B$10:$B$87,0),MATCH(Table1[[#This Row],[CAPACITY]],'OUTCOME MODEL'!$O$9:$T$9))</f>
        <v>1.5527536264266588</v>
      </c>
    </row>
    <row r="236" spans="1:7" x14ac:dyDescent="0.35">
      <c r="A236" s="45">
        <v>6</v>
      </c>
      <c r="B236" s="22">
        <v>11</v>
      </c>
      <c r="C236">
        <v>2</v>
      </c>
      <c r="D236" s="46">
        <f t="array" ref="D236">+INDEX('OUTCOME MODEL'!$U$10:$Z$87,MATCH(Table1[[#This Row],[DRIVERS]]&amp;Table1[[#This Row],[DEMAND]],'OUTCOME MODEL'!$A$10:$A$87&amp;'OUTCOME MODEL'!$B$10:$B$87,0),MATCH(Table1[[#This Row],[CAPACITY]],'OUTCOME MODEL'!$U$9:$Z$9))</f>
        <v>85.433478415930637</v>
      </c>
      <c r="E236" s="58">
        <f t="array" ref="E236">+INDEX('OUTCOME MODEL'!$C$10:$H$87,MATCH(Table1[[#This Row],[DRIVERS]]&amp;Table1[[#This Row],[DEMAND]],'OUTCOME MODEL'!$A$10:$A$87&amp;'OUTCOME MODEL'!$B$10:$B$87,0),MATCH(Table1[[#This Row],[CAPACITY]],'OUTCOME MODEL'!$C$9:$H$9))</f>
        <v>0.8136521753898156</v>
      </c>
      <c r="F236" s="58">
        <f t="array" ref="F236">+INDEX('OUTCOME MODEL'!$I$10:$N$87,MATCH(Table1[[#This Row],[DRIVERS]]&amp;Table1[[#This Row],[DEMAND]],'OUTCOME MODEL'!$A$10:$A$87&amp;'OUTCOME MODEL'!$B$10:$B$87,0),MATCH(Table1[[#This Row],[CAPACITY]],'OUTCOME MODEL'!$I$9:$N$9))</f>
        <v>0.85599999999999998</v>
      </c>
      <c r="G236" s="60">
        <f t="array" ref="G236">+INDEX('OUTCOME MODEL'!$O$10:$T$87,MATCH(Table1[[#This Row],[DRIVERS]]&amp;Table1[[#This Row],[DEMAND]],'OUTCOME MODEL'!$A$10:$A$87&amp;'OUTCOME MODEL'!$B$10:$B$87,0),MATCH(Table1[[#This Row],[CAPACITY]],'OUTCOME MODEL'!$O$9:$T$9))</f>
        <v>1.6273043507796312</v>
      </c>
    </row>
    <row r="237" spans="1:7" x14ac:dyDescent="0.35">
      <c r="A237" s="45">
        <v>6</v>
      </c>
      <c r="B237" s="22">
        <v>12</v>
      </c>
      <c r="C237">
        <v>2</v>
      </c>
      <c r="D237" s="46">
        <f t="array" ref="D237">+INDEX('OUTCOME MODEL'!$U$10:$Z$87,MATCH(Table1[[#This Row],[DRIVERS]]&amp;Table1[[#This Row],[DEMAND]],'OUTCOME MODEL'!$A$10:$A$87&amp;'OUTCOME MODEL'!$B$10:$B$87,0),MATCH(Table1[[#This Row],[CAPACITY]],'OUTCOME MODEL'!$U$9:$Z$9))</f>
        <v>87.823495271647673</v>
      </c>
      <c r="E237" s="58">
        <f t="array" ref="E237">+INDEX('OUTCOME MODEL'!$C$10:$H$87,MATCH(Table1[[#This Row],[DRIVERS]]&amp;Table1[[#This Row],[DEMAND]],'OUTCOME MODEL'!$A$10:$A$87&amp;'OUTCOME MODEL'!$B$10:$B$87,0),MATCH(Table1[[#This Row],[CAPACITY]],'OUTCOME MODEL'!$C$9:$H$9))</f>
        <v>0.83641424068235881</v>
      </c>
      <c r="F237" s="58">
        <f t="array" ref="F237">+INDEX('OUTCOME MODEL'!$I$10:$N$87,MATCH(Table1[[#This Row],[DRIVERS]]&amp;Table1[[#This Row],[DEMAND]],'OUTCOME MODEL'!$A$10:$A$87&amp;'OUTCOME MODEL'!$B$10:$B$87,0),MATCH(Table1[[#This Row],[CAPACITY]],'OUTCOME MODEL'!$I$9:$N$9))</f>
        <v>0.82299999999999995</v>
      </c>
      <c r="G237" s="60">
        <f t="array" ref="G237">+INDEX('OUTCOME MODEL'!$O$10:$T$87,MATCH(Table1[[#This Row],[DRIVERS]]&amp;Table1[[#This Row],[DEMAND]],'OUTCOME MODEL'!$A$10:$A$87&amp;'OUTCOME MODEL'!$B$10:$B$87,0),MATCH(Table1[[#This Row],[CAPACITY]],'OUTCOME MODEL'!$O$9:$T$9))</f>
        <v>1.6728284813647176</v>
      </c>
    </row>
    <row r="238" spans="1:7" x14ac:dyDescent="0.35">
      <c r="A238" s="48">
        <v>1</v>
      </c>
      <c r="B238" s="49">
        <v>0</v>
      </c>
      <c r="C238">
        <v>2.5</v>
      </c>
      <c r="D238" s="46">
        <f t="array" ref="D238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38" s="58">
        <f t="array" ref="E238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38" s="58">
        <f t="array" ref="F23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38" s="60">
        <f t="array" ref="G238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39" spans="1:7" x14ac:dyDescent="0.35">
      <c r="A239" s="45">
        <v>1</v>
      </c>
      <c r="B239" s="22">
        <v>1</v>
      </c>
      <c r="C239">
        <v>2.5</v>
      </c>
      <c r="D239" s="46">
        <f t="array" ref="D239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39" s="58">
        <f t="array" ref="E239">+INDEX('OUTCOME MODEL'!$C$10:$H$87,MATCH(Table1[[#This Row],[DRIVERS]]&amp;Table1[[#This Row],[DEMAND]],'OUTCOME MODEL'!$A$10:$A$87&amp;'OUTCOME MODEL'!$B$10:$B$87,0),MATCH(Table1[[#This Row],[CAPACITY]],'OUTCOME MODEL'!$C$9:$H$9))</f>
        <v>0.42961862757101227</v>
      </c>
      <c r="F239" s="58">
        <f t="array" ref="F239">+INDEX('OUTCOME MODEL'!$I$10:$N$87,MATCH(Table1[[#This Row],[DRIVERS]]&amp;Table1[[#This Row],[DEMAND]],'OUTCOME MODEL'!$A$10:$A$87&amp;'OUTCOME MODEL'!$B$10:$B$87,0),MATCH(Table1[[#This Row],[CAPACITY]],'OUTCOME MODEL'!$I$9:$N$9))</f>
        <v>0.81599999999999995</v>
      </c>
      <c r="G239" s="60">
        <f t="array" ref="G23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40" spans="1:7" x14ac:dyDescent="0.35">
      <c r="A240" s="45">
        <v>1</v>
      </c>
      <c r="B240" s="22">
        <v>2</v>
      </c>
      <c r="C240">
        <v>2.5</v>
      </c>
      <c r="D240" s="46">
        <f t="array" ref="D240">+INDEX('OUTCOME MODEL'!$U$10:$Z$87,MATCH(Table1[[#This Row],[DRIVERS]]&amp;Table1[[#This Row],[DEMAND]],'OUTCOME MODEL'!$A$10:$A$87&amp;'OUTCOME MODEL'!$B$10:$B$87,0),MATCH(Table1[[#This Row],[CAPACITY]],'OUTCOME MODEL'!$U$9:$Z$9))</f>
        <v>15.011081246832244</v>
      </c>
      <c r="E240" s="58">
        <f t="array" ref="E240">+INDEX('OUTCOME MODEL'!$C$10:$H$87,MATCH(Table1[[#This Row],[DRIVERS]]&amp;Table1[[#This Row],[DEMAND]],'OUTCOME MODEL'!$A$10:$A$87&amp;'OUTCOME MODEL'!$B$10:$B$87,0),MATCH(Table1[[#This Row],[CAPACITY]],'OUTCOME MODEL'!$C$9:$H$9))</f>
        <v>0.68622085699804547</v>
      </c>
      <c r="F240" s="58">
        <f t="array" ref="F240">+INDEX('OUTCOME MODEL'!$I$10:$N$87,MATCH(Table1[[#This Row],[DRIVERS]]&amp;Table1[[#This Row],[DEMAND]],'OUTCOME MODEL'!$A$10:$A$87&amp;'OUTCOME MODEL'!$B$10:$B$87,0),MATCH(Table1[[#This Row],[CAPACITY]],'OUTCOME MODEL'!$I$9:$N$9))</f>
        <v>0.60899999999999999</v>
      </c>
      <c r="G240" s="60">
        <f t="array" ref="G240">+INDEX('OUTCOME MODEL'!$O$10:$T$87,MATCH(Table1[[#This Row],[DRIVERS]]&amp;Table1[[#This Row],[DEMAND]],'OUTCOME MODEL'!$A$10:$A$87&amp;'OUTCOME MODEL'!$B$10:$B$87,0),MATCH(Table1[[#This Row],[CAPACITY]],'OUTCOME MODEL'!$O$9:$T$9))</f>
        <v>1.7155521424951137</v>
      </c>
    </row>
    <row r="241" spans="1:7" x14ac:dyDescent="0.35">
      <c r="A241" s="45">
        <v>1</v>
      </c>
      <c r="B241" s="22">
        <v>3</v>
      </c>
      <c r="C241">
        <v>2.5</v>
      </c>
      <c r="D241" s="46">
        <f t="array" ref="D241">+INDEX('OUTCOME MODEL'!$U$10:$Z$87,MATCH(Table1[[#This Row],[DRIVERS]]&amp;Table1[[#This Row],[DEMAND]],'OUTCOME MODEL'!$A$10:$A$87&amp;'OUTCOME MODEL'!$B$10:$B$87,0),MATCH(Table1[[#This Row],[CAPACITY]],'OUTCOME MODEL'!$U$9:$Z$9))</f>
        <v>17.973817812660275</v>
      </c>
      <c r="E241" s="58">
        <f t="array" ref="E241">+INDEX('OUTCOME MODEL'!$C$10:$H$87,MATCH(Table1[[#This Row],[DRIVERS]]&amp;Table1[[#This Row],[DEMAND]],'OUTCOME MODEL'!$A$10:$A$87&amp;'OUTCOME MODEL'!$B$10:$B$87,0),MATCH(Table1[[#This Row],[CAPACITY]],'OUTCOME MODEL'!$C$9:$H$9))</f>
        <v>0.8216602428644697</v>
      </c>
      <c r="F241" s="58">
        <f t="array" ref="F241">+INDEX('OUTCOME MODEL'!$I$10:$N$87,MATCH(Table1[[#This Row],[DRIVERS]]&amp;Table1[[#This Row],[DEMAND]],'OUTCOME MODEL'!$A$10:$A$87&amp;'OUTCOME MODEL'!$B$10:$B$87,0),MATCH(Table1[[#This Row],[CAPACITY]],'OUTCOME MODEL'!$I$9:$N$9))</f>
        <v>0.53600000000000003</v>
      </c>
      <c r="G241" s="60">
        <f t="array" ref="G241">+INDEX('OUTCOME MODEL'!$O$10:$T$87,MATCH(Table1[[#This Row],[DRIVERS]]&amp;Table1[[#This Row],[DEMAND]],'OUTCOME MODEL'!$A$10:$A$87&amp;'OUTCOME MODEL'!$B$10:$B$87,0),MATCH(Table1[[#This Row],[CAPACITY]],'OUTCOME MODEL'!$O$9:$T$9))</f>
        <v>2.0541506071611741</v>
      </c>
    </row>
    <row r="242" spans="1:7" x14ac:dyDescent="0.35">
      <c r="A242" s="45">
        <v>1</v>
      </c>
      <c r="B242" s="22">
        <v>4</v>
      </c>
      <c r="C242">
        <v>2.5</v>
      </c>
      <c r="D242" s="46">
        <f t="array" ref="D242">+INDEX('OUTCOME MODEL'!$U$10:$Z$87,MATCH(Table1[[#This Row],[DRIVERS]]&amp;Table1[[#This Row],[DEMAND]],'OUTCOME MODEL'!$A$10:$A$87&amp;'OUTCOME MODEL'!$B$10:$B$87,0),MATCH(Table1[[#This Row],[CAPACITY]],'OUTCOME MODEL'!$U$9:$Z$9))</f>
        <v>19.608266070624961</v>
      </c>
      <c r="E242" s="58">
        <f t="array" ref="E242">+INDEX('OUTCOME MODEL'!$C$10:$H$87,MATCH(Table1[[#This Row],[DRIVERS]]&amp;Table1[[#This Row],[DEMAND]],'OUTCOME MODEL'!$A$10:$A$87&amp;'OUTCOME MODEL'!$B$10:$B$87,0),MATCH(Table1[[#This Row],[CAPACITY]],'OUTCOME MODEL'!$C$9:$H$9))</f>
        <v>0.89637787751428399</v>
      </c>
      <c r="F242" s="58">
        <f t="array" ref="F242">+INDEX('OUTCOME MODEL'!$I$10:$N$87,MATCH(Table1[[#This Row],[DRIVERS]]&amp;Table1[[#This Row],[DEMAND]],'OUTCOME MODEL'!$A$10:$A$87&amp;'OUTCOME MODEL'!$B$10:$B$87,0),MATCH(Table1[[#This Row],[CAPACITY]],'OUTCOME MODEL'!$I$9:$N$9))</f>
        <v>0.45100000000000001</v>
      </c>
      <c r="G242" s="60">
        <f t="array" ref="G242">+INDEX('OUTCOME MODEL'!$O$10:$T$87,MATCH(Table1[[#This Row],[DRIVERS]]&amp;Table1[[#This Row],[DEMAND]],'OUTCOME MODEL'!$A$10:$A$87&amp;'OUTCOME MODEL'!$B$10:$B$87,0),MATCH(Table1[[#This Row],[CAPACITY]],'OUTCOME MODEL'!$O$9:$T$9))</f>
        <v>2.24094469378571</v>
      </c>
    </row>
    <row r="243" spans="1:7" x14ac:dyDescent="0.35">
      <c r="A243" s="19">
        <v>1</v>
      </c>
      <c r="B243" s="20">
        <v>5</v>
      </c>
      <c r="C243">
        <v>2.5</v>
      </c>
      <c r="D243" s="46">
        <f t="array" ref="D243">+INDEX('OUTCOME MODEL'!$U$10:$Z$87,MATCH(Table1[[#This Row],[DRIVERS]]&amp;Table1[[#This Row],[DEMAND]],'OUTCOME MODEL'!$A$10:$A$87&amp;'OUTCOME MODEL'!$B$10:$B$87,0),MATCH(Table1[[#This Row],[CAPACITY]],'OUTCOME MODEL'!$U$9:$Z$9))</f>
        <v>20.574585521404316</v>
      </c>
      <c r="E243" s="58">
        <f t="array" ref="E243">+INDEX('OUTCOME MODEL'!$C$10:$H$87,MATCH(Table1[[#This Row],[DRIVERS]]&amp;Table1[[#This Row],[DEMAND]],'OUTCOME MODEL'!$A$10:$A$87&amp;'OUTCOME MODEL'!$B$10:$B$87,0),MATCH(Table1[[#This Row],[CAPACITY]],'OUTCOME MODEL'!$C$9:$H$9))</f>
        <v>0.9405524809784831</v>
      </c>
      <c r="F243" s="58">
        <f t="array" ref="F243">+INDEX('OUTCOME MODEL'!$I$10:$N$87,MATCH(Table1[[#This Row],[DRIVERS]]&amp;Table1[[#This Row],[DEMAND]],'OUTCOME MODEL'!$A$10:$A$87&amp;'OUTCOME MODEL'!$B$10:$B$87,0),MATCH(Table1[[#This Row],[CAPACITY]],'OUTCOME MODEL'!$I$9:$N$9))</f>
        <v>0.373</v>
      </c>
      <c r="G243" s="60">
        <f t="array" ref="G243">+INDEX('OUTCOME MODEL'!$O$10:$T$87,MATCH(Table1[[#This Row],[DRIVERS]]&amp;Table1[[#This Row],[DEMAND]],'OUTCOME MODEL'!$A$10:$A$87&amp;'OUTCOME MODEL'!$B$10:$B$87,0),MATCH(Table1[[#This Row],[CAPACITY]],'OUTCOME MODEL'!$O$9:$T$9))</f>
        <v>2.3513812024462077</v>
      </c>
    </row>
    <row r="244" spans="1:7" x14ac:dyDescent="0.35">
      <c r="A244" s="45">
        <v>1</v>
      </c>
      <c r="B244" s="22">
        <v>6</v>
      </c>
      <c r="C244">
        <v>2.5</v>
      </c>
      <c r="D244" s="46">
        <f t="array" ref="D244">+INDEX('OUTCOME MODEL'!$U$10:$Z$87,MATCH(Table1[[#This Row],[DRIVERS]]&amp;Table1[[#This Row],[DEMAND]],'OUTCOME MODEL'!$A$10:$A$87&amp;'OUTCOME MODEL'!$B$10:$B$87,0),MATCH(Table1[[#This Row],[CAPACITY]],'OUTCOME MODEL'!$U$9:$Z$9))</f>
        <v>21.320764845399719</v>
      </c>
      <c r="E244" s="58">
        <f t="array" ref="E244">+INDEX('OUTCOME MODEL'!$C$10:$H$87,MATCH(Table1[[#This Row],[DRIVERS]]&amp;Table1[[#This Row],[DEMAND]],'OUTCOME MODEL'!$A$10:$A$87&amp;'OUTCOME MODEL'!$B$10:$B$87,0),MATCH(Table1[[#This Row],[CAPACITY]],'OUTCOME MODEL'!$C$9:$H$9))</f>
        <v>0.97466353578970122</v>
      </c>
      <c r="F244" s="58">
        <f t="array" ref="F244">+INDEX('OUTCOME MODEL'!$I$10:$N$87,MATCH(Table1[[#This Row],[DRIVERS]]&amp;Table1[[#This Row],[DEMAND]],'OUTCOME MODEL'!$A$10:$A$87&amp;'OUTCOME MODEL'!$B$10:$B$87,0),MATCH(Table1[[#This Row],[CAPACITY]],'OUTCOME MODEL'!$I$9:$N$9))</f>
        <v>0.28899999999999998</v>
      </c>
      <c r="G244" s="60">
        <f t="array" ref="G244">+INDEX('OUTCOME MODEL'!$O$10:$T$87,MATCH(Table1[[#This Row],[DRIVERS]]&amp;Table1[[#This Row],[DEMAND]],'OUTCOME MODEL'!$A$10:$A$87&amp;'OUTCOME MODEL'!$B$10:$B$87,0),MATCH(Table1[[#This Row],[CAPACITY]],'OUTCOME MODEL'!$O$9:$T$9))</f>
        <v>2.4366588394742532</v>
      </c>
    </row>
    <row r="245" spans="1:7" x14ac:dyDescent="0.35">
      <c r="A245" s="45">
        <v>1</v>
      </c>
      <c r="B245" s="22">
        <v>7</v>
      </c>
      <c r="C245">
        <v>2.5</v>
      </c>
      <c r="D245" s="46">
        <f t="array" ref="D245">+INDEX('OUTCOME MODEL'!$U$10:$Z$87,MATCH(Table1[[#This Row],[DRIVERS]]&amp;Table1[[#This Row],[DEMAND]],'OUTCOME MODEL'!$A$10:$A$87&amp;'OUTCOME MODEL'!$B$10:$B$87,0),MATCH(Table1[[#This Row],[CAPACITY]],'OUTCOME MODEL'!$U$9:$Z$9))</f>
        <v>21.634429897339672</v>
      </c>
      <c r="E245" s="58">
        <f t="array" ref="E245">+INDEX('OUTCOME MODEL'!$C$10:$H$87,MATCH(Table1[[#This Row],[DRIVERS]]&amp;Table1[[#This Row],[DEMAND]],'OUTCOME MODEL'!$A$10:$A$87&amp;'OUTCOME MODEL'!$B$10:$B$87,0),MATCH(Table1[[#This Row],[CAPACITY]],'OUTCOME MODEL'!$C$9:$H$9))</f>
        <v>0.98900250959267078</v>
      </c>
      <c r="F245" s="58">
        <f t="array" ref="F245">+INDEX('OUTCOME MODEL'!$I$10:$N$87,MATCH(Table1[[#This Row],[DRIVERS]]&amp;Table1[[#This Row],[DEMAND]],'OUTCOME MODEL'!$A$10:$A$87&amp;'OUTCOME MODEL'!$B$10:$B$87,0),MATCH(Table1[[#This Row],[CAPACITY]],'OUTCOME MODEL'!$I$9:$N$9))</f>
        <v>0.27200000000000002</v>
      </c>
      <c r="G245" s="60">
        <f t="array" ref="G245">+INDEX('OUTCOME MODEL'!$O$10:$T$87,MATCH(Table1[[#This Row],[DRIVERS]]&amp;Table1[[#This Row],[DEMAND]],'OUTCOME MODEL'!$A$10:$A$87&amp;'OUTCOME MODEL'!$B$10:$B$87,0),MATCH(Table1[[#This Row],[CAPACITY]],'OUTCOME MODEL'!$O$9:$T$9))</f>
        <v>2.472506273981677</v>
      </c>
    </row>
    <row r="246" spans="1:7" x14ac:dyDescent="0.35">
      <c r="A246" s="45">
        <v>1</v>
      </c>
      <c r="B246" s="22">
        <v>8</v>
      </c>
      <c r="C246">
        <v>2.5</v>
      </c>
      <c r="D246" s="46">
        <f t="array" ref="D246">+INDEX('OUTCOME MODEL'!$U$10:$Z$87,MATCH(Table1[[#This Row],[DRIVERS]]&amp;Table1[[#This Row],[DEMAND]],'OUTCOME MODEL'!$A$10:$A$87&amp;'OUTCOME MODEL'!$B$10:$B$87,0),MATCH(Table1[[#This Row],[CAPACITY]],'OUTCOME MODEL'!$U$9:$Z$9))</f>
        <v>21.974600713269766</v>
      </c>
      <c r="E246" s="58">
        <f t="array" ref="E246">+INDEX('OUTCOME MODEL'!$C$10:$H$87,MATCH(Table1[[#This Row],[DRIVERS]]&amp;Table1[[#This Row],[DEMAND]],'OUTCOME MODEL'!$A$10:$A$87&amp;'OUTCOME MODEL'!$B$10:$B$87,0),MATCH(Table1[[#This Row],[CAPACITY]],'OUTCOME MODEL'!$C$9:$H$9))</f>
        <v>1.0045531754637609</v>
      </c>
      <c r="F246" s="58">
        <f t="array" ref="F246">+INDEX('OUTCOME MODEL'!$I$10:$N$87,MATCH(Table1[[#This Row],[DRIVERS]]&amp;Table1[[#This Row],[DEMAND]],'OUTCOME MODEL'!$A$10:$A$87&amp;'OUTCOME MODEL'!$B$10:$B$87,0),MATCH(Table1[[#This Row],[CAPACITY]],'OUTCOME MODEL'!$I$9:$N$9))</f>
        <v>0.24199999999999999</v>
      </c>
      <c r="G246" s="60">
        <f t="array" ref="G246">+INDEX('OUTCOME MODEL'!$O$10:$T$87,MATCH(Table1[[#This Row],[DRIVERS]]&amp;Table1[[#This Row],[DEMAND]],'OUTCOME MODEL'!$A$10:$A$87&amp;'OUTCOME MODEL'!$B$10:$B$87,0),MATCH(Table1[[#This Row],[CAPACITY]],'OUTCOME MODEL'!$O$9:$T$9))</f>
        <v>2.511382938659402</v>
      </c>
    </row>
    <row r="247" spans="1:7" x14ac:dyDescent="0.35">
      <c r="A247" s="45">
        <v>1</v>
      </c>
      <c r="B247" s="22">
        <v>9</v>
      </c>
      <c r="C247">
        <v>2.5</v>
      </c>
      <c r="D247" s="46">
        <f t="array" ref="D247">+INDEX('OUTCOME MODEL'!$U$10:$Z$87,MATCH(Table1[[#This Row],[DRIVERS]]&amp;Table1[[#This Row],[DEMAND]],'OUTCOME MODEL'!$A$10:$A$87&amp;'OUTCOME MODEL'!$B$10:$B$87,0),MATCH(Table1[[#This Row],[CAPACITY]],'OUTCOME MODEL'!$U$9:$Z$9))</f>
        <v>21.952381153276416</v>
      </c>
      <c r="E247" s="58">
        <f t="array" ref="E247">+INDEX('OUTCOME MODEL'!$C$10:$H$87,MATCH(Table1[[#This Row],[DRIVERS]]&amp;Table1[[#This Row],[DEMAND]],'OUTCOME MODEL'!$A$10:$A$87&amp;'OUTCOME MODEL'!$B$10:$B$87,0),MATCH(Table1[[#This Row],[CAPACITY]],'OUTCOME MODEL'!$C$9:$H$9))</f>
        <v>1.003537424149779</v>
      </c>
      <c r="F247" s="58">
        <f t="array" ref="F247">+INDEX('OUTCOME MODEL'!$I$10:$N$87,MATCH(Table1[[#This Row],[DRIVERS]]&amp;Table1[[#This Row],[DEMAND]],'OUTCOME MODEL'!$A$10:$A$87&amp;'OUTCOME MODEL'!$B$10:$B$87,0),MATCH(Table1[[#This Row],[CAPACITY]],'OUTCOME MODEL'!$I$9:$N$9))</f>
        <v>0.20599999999999999</v>
      </c>
      <c r="G247" s="60">
        <f t="array" ref="G247">+INDEX('OUTCOME MODEL'!$O$10:$T$87,MATCH(Table1[[#This Row],[DRIVERS]]&amp;Table1[[#This Row],[DEMAND]],'OUTCOME MODEL'!$A$10:$A$87&amp;'OUTCOME MODEL'!$B$10:$B$87,0),MATCH(Table1[[#This Row],[CAPACITY]],'OUTCOME MODEL'!$O$9:$T$9))</f>
        <v>2.5088435603744474</v>
      </c>
    </row>
    <row r="248" spans="1:7" x14ac:dyDescent="0.35">
      <c r="A248" s="45">
        <v>1</v>
      </c>
      <c r="B248" s="22">
        <v>10</v>
      </c>
      <c r="C248">
        <v>2.5</v>
      </c>
      <c r="D248" s="46">
        <f t="array" ref="D248">+INDEX('OUTCOME MODEL'!$U$10:$Z$87,MATCH(Table1[[#This Row],[DRIVERS]]&amp;Table1[[#This Row],[DEMAND]],'OUTCOME MODEL'!$A$10:$A$87&amp;'OUTCOME MODEL'!$B$10:$B$87,0),MATCH(Table1[[#This Row],[CAPACITY]],'OUTCOME MODEL'!$U$9:$Z$9))</f>
        <v>22.23638174564638</v>
      </c>
      <c r="E248" s="58">
        <f t="array" ref="E248">+INDEX('OUTCOME MODEL'!$C$10:$H$87,MATCH(Table1[[#This Row],[DRIVERS]]&amp;Table1[[#This Row],[DEMAND]],'OUTCOME MODEL'!$A$10:$A$87&amp;'OUTCOME MODEL'!$B$10:$B$87,0),MATCH(Table1[[#This Row],[CAPACITY]],'OUTCOME MODEL'!$C$9:$H$9))</f>
        <v>1.0165203083724059</v>
      </c>
      <c r="F248" s="58">
        <f t="array" ref="F248">+INDEX('OUTCOME MODEL'!$I$10:$N$87,MATCH(Table1[[#This Row],[DRIVERS]]&amp;Table1[[#This Row],[DEMAND]],'OUTCOME MODEL'!$A$10:$A$87&amp;'OUTCOME MODEL'!$B$10:$B$87,0),MATCH(Table1[[#This Row],[CAPACITY]],'OUTCOME MODEL'!$I$9:$N$9))</f>
        <v>0.188</v>
      </c>
      <c r="G248" s="60">
        <f t="array" ref="G248">+INDEX('OUTCOME MODEL'!$O$10:$T$87,MATCH(Table1[[#This Row],[DRIVERS]]&amp;Table1[[#This Row],[DEMAND]],'OUTCOME MODEL'!$A$10:$A$87&amp;'OUTCOME MODEL'!$B$10:$B$87,0),MATCH(Table1[[#This Row],[CAPACITY]],'OUTCOME MODEL'!$O$9:$T$9))</f>
        <v>2.5413007709310147</v>
      </c>
    </row>
    <row r="249" spans="1:7" x14ac:dyDescent="0.35">
      <c r="A249" s="45">
        <v>1</v>
      </c>
      <c r="B249" s="22">
        <v>11</v>
      </c>
      <c r="C249">
        <v>2.5</v>
      </c>
      <c r="D249" s="46">
        <f t="array" ref="D249">+INDEX('OUTCOME MODEL'!$U$10:$Z$87,MATCH(Table1[[#This Row],[DRIVERS]]&amp;Table1[[#This Row],[DEMAND]],'OUTCOME MODEL'!$A$10:$A$87&amp;'OUTCOME MODEL'!$B$10:$B$87,0),MATCH(Table1[[#This Row],[CAPACITY]],'OUTCOME MODEL'!$U$9:$Z$9))</f>
        <v>22.195296892632946</v>
      </c>
      <c r="E249" s="58">
        <f t="array" ref="E249">+INDEX('OUTCOME MODEL'!$C$10:$H$87,MATCH(Table1[[#This Row],[DRIVERS]]&amp;Table1[[#This Row],[DEMAND]],'OUTCOME MODEL'!$A$10:$A$87&amp;'OUTCOME MODEL'!$B$10:$B$87,0),MATCH(Table1[[#This Row],[CAPACITY]],'OUTCOME MODEL'!$C$9:$H$9))</f>
        <v>1.0146421436632205</v>
      </c>
      <c r="F249" s="58">
        <f t="array" ref="F249">+INDEX('OUTCOME MODEL'!$I$10:$N$87,MATCH(Table1[[#This Row],[DRIVERS]]&amp;Table1[[#This Row],[DEMAND]],'OUTCOME MODEL'!$A$10:$A$87&amp;'OUTCOME MODEL'!$B$10:$B$87,0),MATCH(Table1[[#This Row],[CAPACITY]],'OUTCOME MODEL'!$I$9:$N$9))</f>
        <v>0.17</v>
      </c>
      <c r="G249" s="60">
        <f t="array" ref="G249">+INDEX('OUTCOME MODEL'!$O$10:$T$87,MATCH(Table1[[#This Row],[DRIVERS]]&amp;Table1[[#This Row],[DEMAND]],'OUTCOME MODEL'!$A$10:$A$87&amp;'OUTCOME MODEL'!$B$10:$B$87,0),MATCH(Table1[[#This Row],[CAPACITY]],'OUTCOME MODEL'!$O$9:$T$9))</f>
        <v>2.5366053591580511</v>
      </c>
    </row>
    <row r="250" spans="1:7" x14ac:dyDescent="0.35">
      <c r="A250" s="45">
        <v>1</v>
      </c>
      <c r="B250" s="22">
        <v>12</v>
      </c>
      <c r="C250">
        <v>2.5</v>
      </c>
      <c r="D250" s="46">
        <f t="array" ref="D250">+INDEX('OUTCOME MODEL'!$U$10:$Z$87,MATCH(Table1[[#This Row],[DRIVERS]]&amp;Table1[[#This Row],[DEMAND]],'OUTCOME MODEL'!$A$10:$A$87&amp;'OUTCOME MODEL'!$B$10:$B$87,0),MATCH(Table1[[#This Row],[CAPACITY]],'OUTCOME MODEL'!$U$9:$Z$9))</f>
        <v>22.324190543265729</v>
      </c>
      <c r="E250" s="58">
        <f t="array" ref="E250">+INDEX('OUTCOME MODEL'!$C$10:$H$87,MATCH(Table1[[#This Row],[DRIVERS]]&amp;Table1[[#This Row],[DEMAND]],'OUTCOME MODEL'!$A$10:$A$87&amp;'OUTCOME MODEL'!$B$10:$B$87,0),MATCH(Table1[[#This Row],[CAPACITY]],'OUTCOME MODEL'!$C$9:$H$9))</f>
        <v>1.0205344248350048</v>
      </c>
      <c r="F250" s="58">
        <f t="array" ref="F250">+INDEX('OUTCOME MODEL'!$I$10:$N$87,MATCH(Table1[[#This Row],[DRIVERS]]&amp;Table1[[#This Row],[DEMAND]],'OUTCOME MODEL'!$A$10:$A$87&amp;'OUTCOME MODEL'!$B$10:$B$87,0),MATCH(Table1[[#This Row],[CAPACITY]],'OUTCOME MODEL'!$I$9:$N$9))</f>
        <v>0.155</v>
      </c>
      <c r="G250" s="60">
        <f t="array" ref="G250">+INDEX('OUTCOME MODEL'!$O$10:$T$87,MATCH(Table1[[#This Row],[DRIVERS]]&amp;Table1[[#This Row],[DEMAND]],'OUTCOME MODEL'!$A$10:$A$87&amp;'OUTCOME MODEL'!$B$10:$B$87,0),MATCH(Table1[[#This Row],[CAPACITY]],'OUTCOME MODEL'!$O$9:$T$9))</f>
        <v>2.5513360620875121</v>
      </c>
    </row>
    <row r="251" spans="1:7" x14ac:dyDescent="0.35">
      <c r="A251" s="48">
        <v>2</v>
      </c>
      <c r="B251" s="49">
        <v>0</v>
      </c>
      <c r="C251">
        <v>2.5</v>
      </c>
      <c r="D251" s="46">
        <f t="array" ref="D251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51" s="58">
        <f t="array" ref="E251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51" s="58">
        <f t="array" ref="F25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51" s="60">
        <f t="array" ref="G251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52" spans="1:7" x14ac:dyDescent="0.35">
      <c r="A252" s="45">
        <v>2</v>
      </c>
      <c r="B252" s="22">
        <v>1</v>
      </c>
      <c r="C252">
        <v>2.5</v>
      </c>
      <c r="D252" s="46">
        <f t="array" ref="D252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52" s="58">
        <f t="array" ref="E252">+INDEX('OUTCOME MODEL'!$C$10:$H$87,MATCH(Table1[[#This Row],[DRIVERS]]&amp;Table1[[#This Row],[DEMAND]],'OUTCOME MODEL'!$A$10:$A$87&amp;'OUTCOME MODEL'!$B$10:$B$87,0),MATCH(Table1[[#This Row],[CAPACITY]],'OUTCOME MODEL'!$C$9:$H$9))</f>
        <v>0.25902105735820818</v>
      </c>
      <c r="F252" s="58">
        <f t="array" ref="F252">+INDEX('OUTCOME MODEL'!$I$10:$N$87,MATCH(Table1[[#This Row],[DRIVERS]]&amp;Table1[[#This Row],[DEMAND]],'OUTCOME MODEL'!$A$10:$A$87&amp;'OUTCOME MODEL'!$B$10:$B$87,0),MATCH(Table1[[#This Row],[CAPACITY]],'OUTCOME MODEL'!$I$9:$N$9))</f>
        <v>0.97199999999999998</v>
      </c>
      <c r="G252" s="60">
        <f t="array" ref="G252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253" spans="1:7" x14ac:dyDescent="0.35">
      <c r="A253" s="45">
        <v>2</v>
      </c>
      <c r="B253" s="22">
        <v>2</v>
      </c>
      <c r="C253">
        <v>2.5</v>
      </c>
      <c r="D253" s="46">
        <f t="array" ref="D253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53" s="58">
        <f t="array" ref="E253">+INDEX('OUTCOME MODEL'!$C$10:$H$87,MATCH(Table1[[#This Row],[DRIVERS]]&amp;Table1[[#This Row],[DEMAND]],'OUTCOME MODEL'!$A$10:$A$87&amp;'OUTCOME MODEL'!$B$10:$B$87,0),MATCH(Table1[[#This Row],[CAPACITY]],'OUTCOME MODEL'!$C$9:$H$9))</f>
        <v>0.48232267607281276</v>
      </c>
      <c r="F253" s="58">
        <f t="array" ref="F253">+INDEX('OUTCOME MODEL'!$I$10:$N$87,MATCH(Table1[[#This Row],[DRIVERS]]&amp;Table1[[#This Row],[DEMAND]],'OUTCOME MODEL'!$A$10:$A$87&amp;'OUTCOME MODEL'!$B$10:$B$87,0),MATCH(Table1[[#This Row],[CAPACITY]],'OUTCOME MODEL'!$I$9:$N$9))</f>
        <v>0.92600000000000005</v>
      </c>
      <c r="G253" s="60">
        <f t="array" ref="G253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54" spans="1:7" x14ac:dyDescent="0.35">
      <c r="A254" s="45">
        <v>2</v>
      </c>
      <c r="B254" s="22">
        <v>3</v>
      </c>
      <c r="C254">
        <v>2.5</v>
      </c>
      <c r="D254" s="46">
        <f t="array" ref="D254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54" s="58">
        <f t="array" ref="E254">+INDEX('OUTCOME MODEL'!$C$10:$H$87,MATCH(Table1[[#This Row],[DRIVERS]]&amp;Table1[[#This Row],[DEMAND]],'OUTCOME MODEL'!$A$10:$A$87&amp;'OUTCOME MODEL'!$B$10:$B$87,0),MATCH(Table1[[#This Row],[CAPACITY]],'OUTCOME MODEL'!$C$9:$H$9))</f>
        <v>0.65894221658066843</v>
      </c>
      <c r="F254" s="58">
        <f t="array" ref="F254">+INDEX('OUTCOME MODEL'!$I$10:$N$87,MATCH(Table1[[#This Row],[DRIVERS]]&amp;Table1[[#This Row],[DEMAND]],'OUTCOME MODEL'!$A$10:$A$87&amp;'OUTCOME MODEL'!$B$10:$B$87,0),MATCH(Table1[[#This Row],[CAPACITY]],'OUTCOME MODEL'!$I$9:$N$9))</f>
        <v>0.83599999999999997</v>
      </c>
      <c r="G254" s="60">
        <f t="array" ref="G254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255" spans="1:7" x14ac:dyDescent="0.35">
      <c r="A255" s="19">
        <v>2</v>
      </c>
      <c r="B255" s="20">
        <v>4</v>
      </c>
      <c r="C255">
        <v>2.5</v>
      </c>
      <c r="D255" s="46">
        <f t="array" ref="D255">+INDEX('OUTCOME MODEL'!$U$10:$Z$87,MATCH(Table1[[#This Row],[DRIVERS]]&amp;Table1[[#This Row],[DEMAND]],'OUTCOME MODEL'!$A$10:$A$87&amp;'OUTCOME MODEL'!$B$10:$B$87,0),MATCH(Table1[[#This Row],[CAPACITY]],'OUTCOME MODEL'!$U$9:$Z$9))</f>
        <v>34.733177567579808</v>
      </c>
      <c r="E255" s="58">
        <f t="array" ref="E255">+INDEX('OUTCOME MODEL'!$C$10:$H$87,MATCH(Table1[[#This Row],[DRIVERS]]&amp;Table1[[#This Row],[DEMAND]],'OUTCOME MODEL'!$A$10:$A$87&amp;'OUTCOME MODEL'!$B$10:$B$87,0),MATCH(Table1[[#This Row],[CAPACITY]],'OUTCOME MODEL'!$C$9:$H$9))</f>
        <v>0.79390120154468136</v>
      </c>
      <c r="F255" s="58">
        <f t="array" ref="F255">+INDEX('OUTCOME MODEL'!$I$10:$N$87,MATCH(Table1[[#This Row],[DRIVERS]]&amp;Table1[[#This Row],[DEMAND]],'OUTCOME MODEL'!$A$10:$A$87&amp;'OUTCOME MODEL'!$B$10:$B$87,0),MATCH(Table1[[#This Row],[CAPACITY]],'OUTCOME MODEL'!$I$9:$N$9))</f>
        <v>0.77200000000000002</v>
      </c>
      <c r="G255" s="60">
        <f t="array" ref="G255">+INDEX('OUTCOME MODEL'!$O$10:$T$87,MATCH(Table1[[#This Row],[DRIVERS]]&amp;Table1[[#This Row],[DEMAND]],'OUTCOME MODEL'!$A$10:$A$87&amp;'OUTCOME MODEL'!$B$10:$B$87,0),MATCH(Table1[[#This Row],[CAPACITY]],'OUTCOME MODEL'!$O$9:$T$9))</f>
        <v>1.9847530038617034</v>
      </c>
    </row>
    <row r="256" spans="1:7" x14ac:dyDescent="0.35">
      <c r="A256" s="45">
        <v>2</v>
      </c>
      <c r="B256" s="22">
        <v>5</v>
      </c>
      <c r="C256">
        <v>2.5</v>
      </c>
      <c r="D256" s="46">
        <f t="array" ref="D256">+INDEX('OUTCOME MODEL'!$U$10:$Z$87,MATCH(Table1[[#This Row],[DRIVERS]]&amp;Table1[[#This Row],[DEMAND]],'OUTCOME MODEL'!$A$10:$A$87&amp;'OUTCOME MODEL'!$B$10:$B$87,0),MATCH(Table1[[#This Row],[CAPACITY]],'OUTCOME MODEL'!$U$9:$Z$9))</f>
        <v>38.684913234165364</v>
      </c>
      <c r="E256" s="58">
        <f t="array" ref="E256">+INDEX('OUTCOME MODEL'!$C$10:$H$87,MATCH(Table1[[#This Row],[DRIVERS]]&amp;Table1[[#This Row],[DEMAND]],'OUTCOME MODEL'!$A$10:$A$87&amp;'OUTCOME MODEL'!$B$10:$B$87,0),MATCH(Table1[[#This Row],[CAPACITY]],'OUTCOME MODEL'!$C$9:$H$9))</f>
        <v>0.88422658820949407</v>
      </c>
      <c r="F256" s="58">
        <f t="array" ref="F256">+INDEX('OUTCOME MODEL'!$I$10:$N$87,MATCH(Table1[[#This Row],[DRIVERS]]&amp;Table1[[#This Row],[DEMAND]],'OUTCOME MODEL'!$A$10:$A$87&amp;'OUTCOME MODEL'!$B$10:$B$87,0),MATCH(Table1[[#This Row],[CAPACITY]],'OUTCOME MODEL'!$I$9:$N$9))</f>
        <v>0.70199999999999996</v>
      </c>
      <c r="G256" s="60">
        <f t="array" ref="G256">+INDEX('OUTCOME MODEL'!$O$10:$T$87,MATCH(Table1[[#This Row],[DRIVERS]]&amp;Table1[[#This Row],[DEMAND]],'OUTCOME MODEL'!$A$10:$A$87&amp;'OUTCOME MODEL'!$B$10:$B$87,0),MATCH(Table1[[#This Row],[CAPACITY]],'OUTCOME MODEL'!$O$9:$T$9))</f>
        <v>2.2105664705237351</v>
      </c>
    </row>
    <row r="257" spans="1:7" x14ac:dyDescent="0.35">
      <c r="A257" s="45">
        <v>2</v>
      </c>
      <c r="B257" s="22">
        <v>6</v>
      </c>
      <c r="C257">
        <v>2.5</v>
      </c>
      <c r="D257" s="46">
        <f t="array" ref="D257">+INDEX('OUTCOME MODEL'!$U$10:$Z$87,MATCH(Table1[[#This Row],[DRIVERS]]&amp;Table1[[#This Row],[DEMAND]],'OUTCOME MODEL'!$A$10:$A$87&amp;'OUTCOME MODEL'!$B$10:$B$87,0),MATCH(Table1[[#This Row],[CAPACITY]],'OUTCOME MODEL'!$U$9:$Z$9))</f>
        <v>41.273114669376099</v>
      </c>
      <c r="E257" s="58">
        <f t="array" ref="E257">+INDEX('OUTCOME MODEL'!$C$10:$H$87,MATCH(Table1[[#This Row],[DRIVERS]]&amp;Table1[[#This Row],[DEMAND]],'OUTCOME MODEL'!$A$10:$A$87&amp;'OUTCOME MODEL'!$B$10:$B$87,0),MATCH(Table1[[#This Row],[CAPACITY]],'OUTCOME MODEL'!$C$9:$H$9))</f>
        <v>0.94338547815716778</v>
      </c>
      <c r="F257" s="58">
        <f t="array" ref="F257">+INDEX('OUTCOME MODEL'!$I$10:$N$87,MATCH(Table1[[#This Row],[DRIVERS]]&amp;Table1[[#This Row],[DEMAND]],'OUTCOME MODEL'!$A$10:$A$87&amp;'OUTCOME MODEL'!$B$10:$B$87,0),MATCH(Table1[[#This Row],[CAPACITY]],'OUTCOME MODEL'!$I$9:$N$9))</f>
        <v>0.64</v>
      </c>
      <c r="G257" s="60">
        <f t="array" ref="G257">+INDEX('OUTCOME MODEL'!$O$10:$T$87,MATCH(Table1[[#This Row],[DRIVERS]]&amp;Table1[[#This Row],[DEMAND]],'OUTCOME MODEL'!$A$10:$A$87&amp;'OUTCOME MODEL'!$B$10:$B$87,0),MATCH(Table1[[#This Row],[CAPACITY]],'OUTCOME MODEL'!$O$9:$T$9))</f>
        <v>2.3584636953929197</v>
      </c>
    </row>
    <row r="258" spans="1:7" x14ac:dyDescent="0.35">
      <c r="A258" s="45">
        <v>2</v>
      </c>
      <c r="B258" s="22">
        <v>7</v>
      </c>
      <c r="C258">
        <v>2.5</v>
      </c>
      <c r="D258" s="46">
        <f t="array" ref="D258">+INDEX('OUTCOME MODEL'!$U$10:$Z$87,MATCH(Table1[[#This Row],[DRIVERS]]&amp;Table1[[#This Row],[DEMAND]],'OUTCOME MODEL'!$A$10:$A$87&amp;'OUTCOME MODEL'!$B$10:$B$87,0),MATCH(Table1[[#This Row],[CAPACITY]],'OUTCOME MODEL'!$U$9:$Z$9))</f>
        <v>43.268385488687549</v>
      </c>
      <c r="E258" s="58">
        <f t="array" ref="E258">+INDEX('OUTCOME MODEL'!$C$10:$H$87,MATCH(Table1[[#This Row],[DRIVERS]]&amp;Table1[[#This Row],[DEMAND]],'OUTCOME MODEL'!$A$10:$A$87&amp;'OUTCOME MODEL'!$B$10:$B$87,0),MATCH(Table1[[#This Row],[CAPACITY]],'OUTCOME MODEL'!$C$9:$H$9))</f>
        <v>0.98899166831285834</v>
      </c>
      <c r="F258" s="58">
        <f t="array" ref="F258">+INDEX('OUTCOME MODEL'!$I$10:$N$87,MATCH(Table1[[#This Row],[DRIVERS]]&amp;Table1[[#This Row],[DEMAND]],'OUTCOME MODEL'!$A$10:$A$87&amp;'OUTCOME MODEL'!$B$10:$B$87,0),MATCH(Table1[[#This Row],[CAPACITY]],'OUTCOME MODEL'!$I$9:$N$9))</f>
        <v>0.56799999999999995</v>
      </c>
      <c r="G258" s="60">
        <f t="array" ref="G258">+INDEX('OUTCOME MODEL'!$O$10:$T$87,MATCH(Table1[[#This Row],[DRIVERS]]&amp;Table1[[#This Row],[DEMAND]],'OUTCOME MODEL'!$A$10:$A$87&amp;'OUTCOME MODEL'!$B$10:$B$87,0),MATCH(Table1[[#This Row],[CAPACITY]],'OUTCOME MODEL'!$O$9:$T$9))</f>
        <v>2.4724791707821456</v>
      </c>
    </row>
    <row r="259" spans="1:7" x14ac:dyDescent="0.35">
      <c r="A259" s="45">
        <v>2</v>
      </c>
      <c r="B259" s="22">
        <v>8</v>
      </c>
      <c r="C259">
        <v>2.5</v>
      </c>
      <c r="D259" s="46">
        <f t="array" ref="D259">+INDEX('OUTCOME MODEL'!$U$10:$Z$87,MATCH(Table1[[#This Row],[DRIVERS]]&amp;Table1[[#This Row],[DEMAND]],'OUTCOME MODEL'!$A$10:$A$87&amp;'OUTCOME MODEL'!$B$10:$B$87,0),MATCH(Table1[[#This Row],[CAPACITY]],'OUTCOME MODEL'!$U$9:$Z$9))</f>
        <v>44.389831939307285</v>
      </c>
      <c r="E259" s="58">
        <f t="array" ref="E259">+INDEX('OUTCOME MODEL'!$C$10:$H$87,MATCH(Table1[[#This Row],[DRIVERS]]&amp;Table1[[#This Row],[DEMAND]],'OUTCOME MODEL'!$A$10:$A$87&amp;'OUTCOME MODEL'!$B$10:$B$87,0),MATCH(Table1[[#This Row],[CAPACITY]],'OUTCOME MODEL'!$C$9:$H$9))</f>
        <v>1.0146247300413094</v>
      </c>
      <c r="F259" s="58">
        <f t="array" ref="F259">+INDEX('OUTCOME MODEL'!$I$10:$N$87,MATCH(Table1[[#This Row],[DRIVERS]]&amp;Table1[[#This Row],[DEMAND]],'OUTCOME MODEL'!$A$10:$A$87&amp;'OUTCOME MODEL'!$B$10:$B$87,0),MATCH(Table1[[#This Row],[CAPACITY]],'OUTCOME MODEL'!$I$9:$N$9))</f>
        <v>0.52</v>
      </c>
      <c r="G259" s="60">
        <f t="array" ref="G259">+INDEX('OUTCOME MODEL'!$O$10:$T$87,MATCH(Table1[[#This Row],[DRIVERS]]&amp;Table1[[#This Row],[DEMAND]],'OUTCOME MODEL'!$A$10:$A$87&amp;'OUTCOME MODEL'!$B$10:$B$87,0),MATCH(Table1[[#This Row],[CAPACITY]],'OUTCOME MODEL'!$O$9:$T$9))</f>
        <v>2.5365618251032735</v>
      </c>
    </row>
    <row r="260" spans="1:7" x14ac:dyDescent="0.35">
      <c r="A260" s="45">
        <v>2</v>
      </c>
      <c r="B260" s="22">
        <v>9</v>
      </c>
      <c r="C260">
        <v>2.5</v>
      </c>
      <c r="D260" s="46">
        <f t="array" ref="D260">+INDEX('OUTCOME MODEL'!$U$10:$Z$87,MATCH(Table1[[#This Row],[DRIVERS]]&amp;Table1[[#This Row],[DEMAND]],'OUTCOME MODEL'!$A$10:$A$87&amp;'OUTCOME MODEL'!$B$10:$B$87,0),MATCH(Table1[[#This Row],[CAPACITY]],'OUTCOME MODEL'!$U$9:$Z$9))</f>
        <v>45.711095521929892</v>
      </c>
      <c r="E260" s="58">
        <f t="array" ref="E260">+INDEX('OUTCOME MODEL'!$C$10:$H$87,MATCH(Table1[[#This Row],[DRIVERS]]&amp;Table1[[#This Row],[DEMAND]],'OUTCOME MODEL'!$A$10:$A$87&amp;'OUTCOME MODEL'!$B$10:$B$87,0),MATCH(Table1[[#This Row],[CAPACITY]],'OUTCOME MODEL'!$C$9:$H$9))</f>
        <v>1.0448250405012547</v>
      </c>
      <c r="F260" s="58">
        <f t="array" ref="F260">+INDEX('OUTCOME MODEL'!$I$10:$N$87,MATCH(Table1[[#This Row],[DRIVERS]]&amp;Table1[[#This Row],[DEMAND]],'OUTCOME MODEL'!$A$10:$A$87&amp;'OUTCOME MODEL'!$B$10:$B$87,0),MATCH(Table1[[#This Row],[CAPACITY]],'OUTCOME MODEL'!$I$9:$N$9))</f>
        <v>0.46500000000000002</v>
      </c>
      <c r="G260" s="60">
        <f t="array" ref="G260">+INDEX('OUTCOME MODEL'!$O$10:$T$87,MATCH(Table1[[#This Row],[DRIVERS]]&amp;Table1[[#This Row],[DEMAND]],'OUTCOME MODEL'!$A$10:$A$87&amp;'OUTCOME MODEL'!$B$10:$B$87,0),MATCH(Table1[[#This Row],[CAPACITY]],'OUTCOME MODEL'!$O$9:$T$9))</f>
        <v>2.6120626012531369</v>
      </c>
    </row>
    <row r="261" spans="1:7" x14ac:dyDescent="0.35">
      <c r="A261" s="45">
        <v>2</v>
      </c>
      <c r="B261" s="22">
        <v>10</v>
      </c>
      <c r="C261">
        <v>2.5</v>
      </c>
      <c r="D261" s="46">
        <f t="array" ref="D261">+INDEX('OUTCOME MODEL'!$U$10:$Z$87,MATCH(Table1[[#This Row],[DRIVERS]]&amp;Table1[[#This Row],[DEMAND]],'OUTCOME MODEL'!$A$10:$A$87&amp;'OUTCOME MODEL'!$B$10:$B$87,0),MATCH(Table1[[#This Row],[CAPACITY]],'OUTCOME MODEL'!$U$9:$Z$9))</f>
        <v>46.618728830066651</v>
      </c>
      <c r="E261" s="58">
        <f t="array" ref="E261">+INDEX('OUTCOME MODEL'!$C$10:$H$87,MATCH(Table1[[#This Row],[DRIVERS]]&amp;Table1[[#This Row],[DEMAND]],'OUTCOME MODEL'!$A$10:$A$87&amp;'OUTCOME MODEL'!$B$10:$B$87,0),MATCH(Table1[[#This Row],[CAPACITY]],'OUTCOME MODEL'!$C$9:$H$9))</f>
        <v>1.0655709446872377</v>
      </c>
      <c r="F261" s="58">
        <f t="array" ref="F261">+INDEX('OUTCOME MODEL'!$I$10:$N$87,MATCH(Table1[[#This Row],[DRIVERS]]&amp;Table1[[#This Row],[DEMAND]],'OUTCOME MODEL'!$A$10:$A$87&amp;'OUTCOME MODEL'!$B$10:$B$87,0),MATCH(Table1[[#This Row],[CAPACITY]],'OUTCOME MODEL'!$I$9:$N$9))</f>
        <v>0.41299999999999998</v>
      </c>
      <c r="G261" s="60">
        <f t="array" ref="G261">+INDEX('OUTCOME MODEL'!$O$10:$T$87,MATCH(Table1[[#This Row],[DRIVERS]]&amp;Table1[[#This Row],[DEMAND]],'OUTCOME MODEL'!$A$10:$A$87&amp;'OUTCOME MODEL'!$B$10:$B$87,0),MATCH(Table1[[#This Row],[CAPACITY]],'OUTCOME MODEL'!$O$9:$T$9))</f>
        <v>2.6639273617180943</v>
      </c>
    </row>
    <row r="262" spans="1:7" x14ac:dyDescent="0.35">
      <c r="A262" s="45">
        <v>2</v>
      </c>
      <c r="B262" s="22">
        <v>11</v>
      </c>
      <c r="C262">
        <v>2.5</v>
      </c>
      <c r="D262" s="46">
        <f t="array" ref="D262">+INDEX('OUTCOME MODEL'!$U$10:$Z$87,MATCH(Table1[[#This Row],[DRIVERS]]&amp;Table1[[#This Row],[DEMAND]],'OUTCOME MODEL'!$A$10:$A$87&amp;'OUTCOME MODEL'!$B$10:$B$87,0),MATCH(Table1[[#This Row],[CAPACITY]],'OUTCOME MODEL'!$U$9:$Z$9))</f>
        <v>47.056621008658233</v>
      </c>
      <c r="E262" s="58">
        <f t="array" ref="E262">+INDEX('OUTCOME MODEL'!$C$10:$H$87,MATCH(Table1[[#This Row],[DRIVERS]]&amp;Table1[[#This Row],[DEMAND]],'OUTCOME MODEL'!$A$10:$A$87&amp;'OUTCOME MODEL'!$B$10:$B$87,0),MATCH(Table1[[#This Row],[CAPACITY]],'OUTCOME MODEL'!$C$9:$H$9))</f>
        <v>1.0755799087693312</v>
      </c>
      <c r="F262" s="58">
        <f t="array" ref="F262">+INDEX('OUTCOME MODEL'!$I$10:$N$87,MATCH(Table1[[#This Row],[DRIVERS]]&amp;Table1[[#This Row],[DEMAND]],'OUTCOME MODEL'!$A$10:$A$87&amp;'OUTCOME MODEL'!$B$10:$B$87,0),MATCH(Table1[[#This Row],[CAPACITY]],'OUTCOME MODEL'!$I$9:$N$9))</f>
        <v>0.36899999999999999</v>
      </c>
      <c r="G262" s="60">
        <f t="array" ref="G262">+INDEX('OUTCOME MODEL'!$O$10:$T$87,MATCH(Table1[[#This Row],[DRIVERS]]&amp;Table1[[#This Row],[DEMAND]],'OUTCOME MODEL'!$A$10:$A$87&amp;'OUTCOME MODEL'!$B$10:$B$87,0),MATCH(Table1[[#This Row],[CAPACITY]],'OUTCOME MODEL'!$O$9:$T$9))</f>
        <v>2.688949771923328</v>
      </c>
    </row>
    <row r="263" spans="1:7" x14ac:dyDescent="0.35">
      <c r="A263" s="45">
        <v>2</v>
      </c>
      <c r="B263" s="22">
        <v>12</v>
      </c>
      <c r="C263">
        <v>2.5</v>
      </c>
      <c r="D263" s="46">
        <f t="array" ref="D263">+INDEX('OUTCOME MODEL'!$U$10:$Z$87,MATCH(Table1[[#This Row],[DRIVERS]]&amp;Table1[[#This Row],[DEMAND]],'OUTCOME MODEL'!$A$10:$A$87&amp;'OUTCOME MODEL'!$B$10:$B$87,0),MATCH(Table1[[#This Row],[CAPACITY]],'OUTCOME MODEL'!$U$9:$Z$9))</f>
        <v>47.653375864503246</v>
      </c>
      <c r="E263" s="58">
        <f t="array" ref="E263">+INDEX('OUTCOME MODEL'!$C$10:$H$87,MATCH(Table1[[#This Row],[DRIVERS]]&amp;Table1[[#This Row],[DEMAND]],'OUTCOME MODEL'!$A$10:$A$87&amp;'OUTCOME MODEL'!$B$10:$B$87,0),MATCH(Table1[[#This Row],[CAPACITY]],'OUTCOME MODEL'!$C$9:$H$9))</f>
        <v>1.0892200197600741</v>
      </c>
      <c r="F263" s="58">
        <f t="array" ref="F263">+INDEX('OUTCOME MODEL'!$I$10:$N$87,MATCH(Table1[[#This Row],[DRIVERS]]&amp;Table1[[#This Row],[DEMAND]],'OUTCOME MODEL'!$A$10:$A$87&amp;'OUTCOME MODEL'!$B$10:$B$87,0),MATCH(Table1[[#This Row],[CAPACITY]],'OUTCOME MODEL'!$I$9:$N$9))</f>
        <v>0.38800000000000001</v>
      </c>
      <c r="G263" s="60">
        <f t="array" ref="G263">+INDEX('OUTCOME MODEL'!$O$10:$T$87,MATCH(Table1[[#This Row],[DRIVERS]]&amp;Table1[[#This Row],[DEMAND]],'OUTCOME MODEL'!$A$10:$A$87&amp;'OUTCOME MODEL'!$B$10:$B$87,0),MATCH(Table1[[#This Row],[CAPACITY]],'OUTCOME MODEL'!$O$9:$T$9))</f>
        <v>2.723050049400185</v>
      </c>
    </row>
    <row r="264" spans="1:7" x14ac:dyDescent="0.35">
      <c r="A264" s="48">
        <v>3</v>
      </c>
      <c r="B264" s="49">
        <v>0</v>
      </c>
      <c r="C264">
        <v>2.5</v>
      </c>
      <c r="D264" s="46">
        <f t="array" ref="D264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64" s="58">
        <f t="array" ref="E264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64" s="58">
        <f t="array" ref="F26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64" s="60">
        <f t="array" ref="G264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65" spans="1:7" x14ac:dyDescent="0.35">
      <c r="A265" s="45">
        <v>3</v>
      </c>
      <c r="B265" s="22">
        <v>1</v>
      </c>
      <c r="C265">
        <v>2.5</v>
      </c>
      <c r="D265" s="46">
        <f t="array" ref="D265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65" s="58">
        <f t="array" ref="E265">+INDEX('OUTCOME MODEL'!$C$10:$H$87,MATCH(Table1[[#This Row],[DRIVERS]]&amp;Table1[[#This Row],[DEMAND]],'OUTCOME MODEL'!$A$10:$A$87&amp;'OUTCOME MODEL'!$B$10:$B$87,0),MATCH(Table1[[#This Row],[CAPACITY]],'OUTCOME MODEL'!$C$9:$H$9))</f>
        <v>0.17788270874501577</v>
      </c>
      <c r="F265" s="58">
        <f t="array" ref="F265">+INDEX('OUTCOME MODEL'!$I$10:$N$87,MATCH(Table1[[#This Row],[DRIVERS]]&amp;Table1[[#This Row],[DEMAND]],'OUTCOME MODEL'!$A$10:$A$87&amp;'OUTCOME MODEL'!$B$10:$B$87,0),MATCH(Table1[[#This Row],[CAPACITY]],'OUTCOME MODEL'!$I$9:$N$9))</f>
        <v>0.98799999999999999</v>
      </c>
      <c r="G265" s="60">
        <f t="array" ref="G265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266" spans="1:7" x14ac:dyDescent="0.35">
      <c r="A266" s="45">
        <v>3</v>
      </c>
      <c r="B266" s="22">
        <v>2</v>
      </c>
      <c r="C266">
        <v>2.5</v>
      </c>
      <c r="D266" s="46">
        <f t="array" ref="D266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66" s="58">
        <f t="array" ref="E266">+INDEX('OUTCOME MODEL'!$C$10:$H$87,MATCH(Table1[[#This Row],[DRIVERS]]&amp;Table1[[#This Row],[DEMAND]],'OUTCOME MODEL'!$A$10:$A$87&amp;'OUTCOME MODEL'!$B$10:$B$87,0),MATCH(Table1[[#This Row],[CAPACITY]],'OUTCOME MODEL'!$C$9:$H$9))</f>
        <v>0.3456401988085715</v>
      </c>
      <c r="F266" s="58">
        <f t="array" ref="F266">+INDEX('OUTCOME MODEL'!$I$10:$N$87,MATCH(Table1[[#This Row],[DRIVERS]]&amp;Table1[[#This Row],[DEMAND]],'OUTCOME MODEL'!$A$10:$A$87&amp;'OUTCOME MODEL'!$B$10:$B$87,0),MATCH(Table1[[#This Row],[CAPACITY]],'OUTCOME MODEL'!$I$9:$N$9))</f>
        <v>0.98099999999999998</v>
      </c>
      <c r="G266" s="60">
        <f t="array" ref="G266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267" spans="1:7" x14ac:dyDescent="0.35">
      <c r="A267" s="19">
        <v>3</v>
      </c>
      <c r="B267" s="20">
        <v>3</v>
      </c>
      <c r="C267">
        <v>2.5</v>
      </c>
      <c r="D267" s="46">
        <f t="array" ref="D267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67" s="58">
        <f t="array" ref="E267">+INDEX('OUTCOME MODEL'!$C$10:$H$87,MATCH(Table1[[#This Row],[DRIVERS]]&amp;Table1[[#This Row],[DEMAND]],'OUTCOME MODEL'!$A$10:$A$87&amp;'OUTCOME MODEL'!$B$10:$B$87,0),MATCH(Table1[[#This Row],[CAPACITY]],'OUTCOME MODEL'!$C$9:$H$9))</f>
        <v>0.49296751420514962</v>
      </c>
      <c r="F267" s="58">
        <f t="array" ref="F267">+INDEX('OUTCOME MODEL'!$I$10:$N$87,MATCH(Table1[[#This Row],[DRIVERS]]&amp;Table1[[#This Row],[DEMAND]],'OUTCOME MODEL'!$A$10:$A$87&amp;'OUTCOME MODEL'!$B$10:$B$87,0),MATCH(Table1[[#This Row],[CAPACITY]],'OUTCOME MODEL'!$I$9:$N$9))</f>
        <v>0.96799999999999997</v>
      </c>
      <c r="G267" s="60">
        <f t="array" ref="G26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68" spans="1:7" x14ac:dyDescent="0.35">
      <c r="A268" s="45">
        <v>3</v>
      </c>
      <c r="B268" s="22">
        <v>4</v>
      </c>
      <c r="C268">
        <v>2.5</v>
      </c>
      <c r="D268" s="46">
        <f t="array" ref="D268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68" s="58">
        <f t="array" ref="E268">+INDEX('OUTCOME MODEL'!$C$10:$H$87,MATCH(Table1[[#This Row],[DRIVERS]]&amp;Table1[[#This Row],[DEMAND]],'OUTCOME MODEL'!$A$10:$A$87&amp;'OUTCOME MODEL'!$B$10:$B$87,0),MATCH(Table1[[#This Row],[CAPACITY]],'OUTCOME MODEL'!$C$9:$H$9))</f>
        <v>0.634026147100617</v>
      </c>
      <c r="F268" s="58">
        <f t="array" ref="F268">+INDEX('OUTCOME MODEL'!$I$10:$N$87,MATCH(Table1[[#This Row],[DRIVERS]]&amp;Table1[[#This Row],[DEMAND]],'OUTCOME MODEL'!$A$10:$A$87&amp;'OUTCOME MODEL'!$B$10:$B$87,0),MATCH(Table1[[#This Row],[CAPACITY]],'OUTCOME MODEL'!$I$9:$N$9))</f>
        <v>0.92300000000000004</v>
      </c>
      <c r="G268" s="60">
        <f t="array" ref="G268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269" spans="1:7" x14ac:dyDescent="0.35">
      <c r="A269" s="45">
        <v>3</v>
      </c>
      <c r="B269" s="22">
        <v>5</v>
      </c>
      <c r="C269">
        <v>2.5</v>
      </c>
      <c r="D269" s="46">
        <f t="array" ref="D269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69" s="58">
        <f t="array" ref="E269">+INDEX('OUTCOME MODEL'!$C$10:$H$87,MATCH(Table1[[#This Row],[DRIVERS]]&amp;Table1[[#This Row],[DEMAND]],'OUTCOME MODEL'!$A$10:$A$87&amp;'OUTCOME MODEL'!$B$10:$B$87,0),MATCH(Table1[[#This Row],[CAPACITY]],'OUTCOME MODEL'!$C$9:$H$9))</f>
        <v>0.74001797579649997</v>
      </c>
      <c r="F269" s="58">
        <f t="array" ref="F269">+INDEX('OUTCOME MODEL'!$I$10:$N$87,MATCH(Table1[[#This Row],[DRIVERS]]&amp;Table1[[#This Row],[DEMAND]],'OUTCOME MODEL'!$A$10:$A$87&amp;'OUTCOME MODEL'!$B$10:$B$87,0),MATCH(Table1[[#This Row],[CAPACITY]],'OUTCOME MODEL'!$I$9:$N$9))</f>
        <v>0.878</v>
      </c>
      <c r="G269" s="60">
        <f t="array" ref="G269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270" spans="1:7" x14ac:dyDescent="0.35">
      <c r="A270" s="45">
        <v>3</v>
      </c>
      <c r="B270" s="22">
        <v>6</v>
      </c>
      <c r="C270">
        <v>2.5</v>
      </c>
      <c r="D270" s="46">
        <f t="array" ref="D270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270" s="58">
        <f t="array" ref="E270">+INDEX('OUTCOME MODEL'!$C$10:$H$87,MATCH(Table1[[#This Row],[DRIVERS]]&amp;Table1[[#This Row],[DEMAND]],'OUTCOME MODEL'!$A$10:$A$87&amp;'OUTCOME MODEL'!$B$10:$B$87,0),MATCH(Table1[[#This Row],[CAPACITY]],'OUTCOME MODEL'!$C$9:$H$9))</f>
        <v>0.81789475103981391</v>
      </c>
      <c r="F270" s="58">
        <f t="array" ref="F270">+INDEX('OUTCOME MODEL'!$I$10:$N$87,MATCH(Table1[[#This Row],[DRIVERS]]&amp;Table1[[#This Row],[DEMAND]],'OUTCOME MODEL'!$A$10:$A$87&amp;'OUTCOME MODEL'!$B$10:$B$87,0),MATCH(Table1[[#This Row],[CAPACITY]],'OUTCOME MODEL'!$I$9:$N$9))</f>
        <v>0.83299999999999996</v>
      </c>
      <c r="G270" s="60">
        <f t="array" ref="G270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271" spans="1:7" x14ac:dyDescent="0.35">
      <c r="A271" s="45">
        <v>3</v>
      </c>
      <c r="B271" s="22">
        <v>7</v>
      </c>
      <c r="C271">
        <v>2.5</v>
      </c>
      <c r="D271" s="46">
        <f t="array" ref="D271">+INDEX('OUTCOME MODEL'!$U$10:$Z$87,MATCH(Table1[[#This Row],[DRIVERS]]&amp;Table1[[#This Row],[DEMAND]],'OUTCOME MODEL'!$A$10:$A$87&amp;'OUTCOME MODEL'!$B$10:$B$87,0),MATCH(Table1[[#This Row],[CAPACITY]],'OUTCOME MODEL'!$U$9:$Z$9))</f>
        <v>57.97966968733607</v>
      </c>
      <c r="E271" s="58">
        <f t="array" ref="E271">+INDEX('OUTCOME MODEL'!$C$10:$H$87,MATCH(Table1[[#This Row],[DRIVERS]]&amp;Table1[[#This Row],[DEMAND]],'OUTCOME MODEL'!$A$10:$A$87&amp;'OUTCOME MODEL'!$B$10:$B$87,0),MATCH(Table1[[#This Row],[CAPACITY]],'OUTCOME MODEL'!$C$9:$H$9))</f>
        <v>0.88349972856893044</v>
      </c>
      <c r="F271" s="58">
        <f t="array" ref="F271">+INDEX('OUTCOME MODEL'!$I$10:$N$87,MATCH(Table1[[#This Row],[DRIVERS]]&amp;Table1[[#This Row],[DEMAND]],'OUTCOME MODEL'!$A$10:$A$87&amp;'OUTCOME MODEL'!$B$10:$B$87,0),MATCH(Table1[[#This Row],[CAPACITY]],'OUTCOME MODEL'!$I$9:$N$9))</f>
        <v>0.75600000000000001</v>
      </c>
      <c r="G271" s="60">
        <f t="array" ref="G271">+INDEX('OUTCOME MODEL'!$O$10:$T$87,MATCH(Table1[[#This Row],[DRIVERS]]&amp;Table1[[#This Row],[DEMAND]],'OUTCOME MODEL'!$A$10:$A$87&amp;'OUTCOME MODEL'!$B$10:$B$87,0),MATCH(Table1[[#This Row],[CAPACITY]],'OUTCOME MODEL'!$O$9:$T$9))</f>
        <v>2.2087493214223262</v>
      </c>
    </row>
    <row r="272" spans="1:7" x14ac:dyDescent="0.35">
      <c r="A272" s="45">
        <v>3</v>
      </c>
      <c r="B272" s="22">
        <v>8</v>
      </c>
      <c r="C272">
        <v>2.5</v>
      </c>
      <c r="D272" s="46">
        <f t="array" ref="D272">+INDEX('OUTCOME MODEL'!$U$10:$Z$87,MATCH(Table1[[#This Row],[DRIVERS]]&amp;Table1[[#This Row],[DEMAND]],'OUTCOME MODEL'!$A$10:$A$87&amp;'OUTCOME MODEL'!$B$10:$B$87,0),MATCH(Table1[[#This Row],[CAPACITY]],'OUTCOME MODEL'!$U$9:$Z$9))</f>
        <v>60.601534940632348</v>
      </c>
      <c r="E272" s="58">
        <f t="array" ref="E272">+INDEX('OUTCOME MODEL'!$C$10:$H$87,MATCH(Table1[[#This Row],[DRIVERS]]&amp;Table1[[#This Row],[DEMAND]],'OUTCOME MODEL'!$A$10:$A$87&amp;'OUTCOME MODEL'!$B$10:$B$87,0),MATCH(Table1[[#This Row],[CAPACITY]],'OUTCOME MODEL'!$C$9:$H$9))</f>
        <v>0.92345196100011195</v>
      </c>
      <c r="F272" s="58">
        <f t="array" ref="F272">+INDEX('OUTCOME MODEL'!$I$10:$N$87,MATCH(Table1[[#This Row],[DRIVERS]]&amp;Table1[[#This Row],[DEMAND]],'OUTCOME MODEL'!$A$10:$A$87&amp;'OUTCOME MODEL'!$B$10:$B$87,0),MATCH(Table1[[#This Row],[CAPACITY]],'OUTCOME MODEL'!$I$9:$N$9))</f>
        <v>0.72599999999999998</v>
      </c>
      <c r="G272" s="60">
        <f t="array" ref="G272">+INDEX('OUTCOME MODEL'!$O$10:$T$87,MATCH(Table1[[#This Row],[DRIVERS]]&amp;Table1[[#This Row],[DEMAND]],'OUTCOME MODEL'!$A$10:$A$87&amp;'OUTCOME MODEL'!$B$10:$B$87,0),MATCH(Table1[[#This Row],[CAPACITY]],'OUTCOME MODEL'!$O$9:$T$9))</f>
        <v>2.3086299025002797</v>
      </c>
    </row>
    <row r="273" spans="1:7" x14ac:dyDescent="0.35">
      <c r="A273" s="45">
        <v>3</v>
      </c>
      <c r="B273" s="22">
        <v>9</v>
      </c>
      <c r="C273">
        <v>2.5</v>
      </c>
      <c r="D273" s="46">
        <f t="array" ref="D273">+INDEX('OUTCOME MODEL'!$U$10:$Z$87,MATCH(Table1[[#This Row],[DRIVERS]]&amp;Table1[[#This Row],[DEMAND]],'OUTCOME MODEL'!$A$10:$A$87&amp;'OUTCOME MODEL'!$B$10:$B$87,0),MATCH(Table1[[#This Row],[CAPACITY]],'OUTCOME MODEL'!$U$9:$Z$9))</f>
        <v>62.865794848829928</v>
      </c>
      <c r="E273" s="58">
        <f t="array" ref="E273">+INDEX('OUTCOME MODEL'!$C$10:$H$87,MATCH(Table1[[#This Row],[DRIVERS]]&amp;Table1[[#This Row],[DEMAND]],'OUTCOME MODEL'!$A$10:$A$87&amp;'OUTCOME MODEL'!$B$10:$B$87,0),MATCH(Table1[[#This Row],[CAPACITY]],'OUTCOME MODEL'!$C$9:$H$9))</f>
        <v>0.95795496912502742</v>
      </c>
      <c r="F273" s="58">
        <f t="array" ref="F273">+INDEX('OUTCOME MODEL'!$I$10:$N$87,MATCH(Table1[[#This Row],[DRIVERS]]&amp;Table1[[#This Row],[DEMAND]],'OUTCOME MODEL'!$A$10:$A$87&amp;'OUTCOME MODEL'!$B$10:$B$87,0),MATCH(Table1[[#This Row],[CAPACITY]],'OUTCOME MODEL'!$I$9:$N$9))</f>
        <v>0.68500000000000005</v>
      </c>
      <c r="G273" s="60">
        <f t="array" ref="G273">+INDEX('OUTCOME MODEL'!$O$10:$T$87,MATCH(Table1[[#This Row],[DRIVERS]]&amp;Table1[[#This Row],[DEMAND]],'OUTCOME MODEL'!$A$10:$A$87&amp;'OUTCOME MODEL'!$B$10:$B$87,0),MATCH(Table1[[#This Row],[CAPACITY]],'OUTCOME MODEL'!$O$9:$T$9))</f>
        <v>2.3948874228125687</v>
      </c>
    </row>
    <row r="274" spans="1:7" x14ac:dyDescent="0.35">
      <c r="A274" s="45">
        <v>3</v>
      </c>
      <c r="B274" s="22">
        <v>10</v>
      </c>
      <c r="C274">
        <v>2.5</v>
      </c>
      <c r="D274" s="46">
        <f t="array" ref="D274">+INDEX('OUTCOME MODEL'!$U$10:$Z$87,MATCH(Table1[[#This Row],[DRIVERS]]&amp;Table1[[#This Row],[DEMAND]],'OUTCOME MODEL'!$A$10:$A$87&amp;'OUTCOME MODEL'!$B$10:$B$87,0),MATCH(Table1[[#This Row],[CAPACITY]],'OUTCOME MODEL'!$U$9:$Z$9))</f>
        <v>64.483232967764195</v>
      </c>
      <c r="E274" s="58">
        <f t="array" ref="E274">+INDEX('OUTCOME MODEL'!$C$10:$H$87,MATCH(Table1[[#This Row],[DRIVERS]]&amp;Table1[[#This Row],[DEMAND]],'OUTCOME MODEL'!$A$10:$A$87&amp;'OUTCOME MODEL'!$B$10:$B$87,0),MATCH(Table1[[#This Row],[CAPACITY]],'OUTCOME MODEL'!$C$9:$H$9))</f>
        <v>0.98260164522307336</v>
      </c>
      <c r="F274" s="58">
        <f t="array" ref="F274">+INDEX('OUTCOME MODEL'!$I$10:$N$87,MATCH(Table1[[#This Row],[DRIVERS]]&amp;Table1[[#This Row],[DEMAND]],'OUTCOME MODEL'!$A$10:$A$87&amp;'OUTCOME MODEL'!$B$10:$B$87,0),MATCH(Table1[[#This Row],[CAPACITY]],'OUTCOME MODEL'!$I$9:$N$9))</f>
        <v>0.63300000000000001</v>
      </c>
      <c r="G274" s="60">
        <f t="array" ref="G274">+INDEX('OUTCOME MODEL'!$O$10:$T$87,MATCH(Table1[[#This Row],[DRIVERS]]&amp;Table1[[#This Row],[DEMAND]],'OUTCOME MODEL'!$A$10:$A$87&amp;'OUTCOME MODEL'!$B$10:$B$87,0),MATCH(Table1[[#This Row],[CAPACITY]],'OUTCOME MODEL'!$O$9:$T$9))</f>
        <v>2.4565041130576835</v>
      </c>
    </row>
    <row r="275" spans="1:7" x14ac:dyDescent="0.35">
      <c r="A275" s="45">
        <v>3</v>
      </c>
      <c r="B275" s="22">
        <v>11</v>
      </c>
      <c r="C275">
        <v>2.5</v>
      </c>
      <c r="D275" s="46">
        <f t="array" ref="D275">+INDEX('OUTCOME MODEL'!$U$10:$Z$87,MATCH(Table1[[#This Row],[DRIVERS]]&amp;Table1[[#This Row],[DEMAND]],'OUTCOME MODEL'!$A$10:$A$87&amp;'OUTCOME MODEL'!$B$10:$B$87,0),MATCH(Table1[[#This Row],[CAPACITY]],'OUTCOME MODEL'!$U$9:$Z$9))</f>
        <v>66.216845406905634</v>
      </c>
      <c r="E275" s="58">
        <f t="array" ref="E275">+INDEX('OUTCOME MODEL'!$C$10:$H$87,MATCH(Table1[[#This Row],[DRIVERS]]&amp;Table1[[#This Row],[DEMAND]],'OUTCOME MODEL'!$A$10:$A$87&amp;'OUTCOME MODEL'!$B$10:$B$87,0),MATCH(Table1[[#This Row],[CAPACITY]],'OUTCOME MODEL'!$C$9:$H$9))</f>
        <v>1.0090185966766572</v>
      </c>
      <c r="F275" s="58">
        <f t="array" ref="F275">+INDEX('OUTCOME MODEL'!$I$10:$N$87,MATCH(Table1[[#This Row],[DRIVERS]]&amp;Table1[[#This Row],[DEMAND]],'OUTCOME MODEL'!$A$10:$A$87&amp;'OUTCOME MODEL'!$B$10:$B$87,0),MATCH(Table1[[#This Row],[CAPACITY]],'OUTCOME MODEL'!$I$9:$N$9))</f>
        <v>0.59299999999999997</v>
      </c>
      <c r="G275" s="60">
        <f t="array" ref="G275">+INDEX('OUTCOME MODEL'!$O$10:$T$87,MATCH(Table1[[#This Row],[DRIVERS]]&amp;Table1[[#This Row],[DEMAND]],'OUTCOME MODEL'!$A$10:$A$87&amp;'OUTCOME MODEL'!$B$10:$B$87,0),MATCH(Table1[[#This Row],[CAPACITY]],'OUTCOME MODEL'!$O$9:$T$9))</f>
        <v>2.5225464916916431</v>
      </c>
    </row>
    <row r="276" spans="1:7" x14ac:dyDescent="0.35">
      <c r="A276" s="45">
        <v>3</v>
      </c>
      <c r="B276" s="22">
        <v>12</v>
      </c>
      <c r="C276">
        <v>2.5</v>
      </c>
      <c r="D276" s="46">
        <f t="array" ref="D276">+INDEX('OUTCOME MODEL'!$U$10:$Z$87,MATCH(Table1[[#This Row],[DRIVERS]]&amp;Table1[[#This Row],[DEMAND]],'OUTCOME MODEL'!$A$10:$A$87&amp;'OUTCOME MODEL'!$B$10:$B$87,0),MATCH(Table1[[#This Row],[CAPACITY]],'OUTCOME MODEL'!$U$9:$Z$9))</f>
        <v>67.086827393618321</v>
      </c>
      <c r="E276" s="58">
        <f t="array" ref="E276">+INDEX('OUTCOME MODEL'!$C$10:$H$87,MATCH(Table1[[#This Row],[DRIVERS]]&amp;Table1[[#This Row],[DEMAND]],'OUTCOME MODEL'!$A$10:$A$87&amp;'OUTCOME MODEL'!$B$10:$B$87,0),MATCH(Table1[[#This Row],[CAPACITY]],'OUTCOME MODEL'!$C$9:$H$9))</f>
        <v>1.0222754650456125</v>
      </c>
      <c r="F276" s="58">
        <f t="array" ref="F276">+INDEX('OUTCOME MODEL'!$I$10:$N$87,MATCH(Table1[[#This Row],[DRIVERS]]&amp;Table1[[#This Row],[DEMAND]],'OUTCOME MODEL'!$A$10:$A$87&amp;'OUTCOME MODEL'!$B$10:$B$87,0),MATCH(Table1[[#This Row],[CAPACITY]],'OUTCOME MODEL'!$I$9:$N$9))</f>
        <v>0.51700000000000002</v>
      </c>
      <c r="G276" s="60">
        <f t="array" ref="G276">+INDEX('OUTCOME MODEL'!$O$10:$T$87,MATCH(Table1[[#This Row],[DRIVERS]]&amp;Table1[[#This Row],[DEMAND]],'OUTCOME MODEL'!$A$10:$A$87&amp;'OUTCOME MODEL'!$B$10:$B$87,0),MATCH(Table1[[#This Row],[CAPACITY]],'OUTCOME MODEL'!$O$9:$T$9))</f>
        <v>2.5556886626140312</v>
      </c>
    </row>
    <row r="277" spans="1:7" x14ac:dyDescent="0.35">
      <c r="A277" s="48">
        <v>4</v>
      </c>
      <c r="B277" s="49">
        <v>0</v>
      </c>
      <c r="C277">
        <v>2.5</v>
      </c>
      <c r="D277" s="46">
        <f t="array" ref="D277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77" s="58">
        <f t="array" ref="E277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77" s="58">
        <f t="array" ref="F27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77" s="60">
        <f t="array" ref="G277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78" spans="1:7" x14ac:dyDescent="0.35">
      <c r="A278" s="45">
        <v>4</v>
      </c>
      <c r="B278" s="22">
        <v>1</v>
      </c>
      <c r="C278">
        <v>2.5</v>
      </c>
      <c r="D278" s="46">
        <f t="array" ref="D278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78" s="58">
        <f t="array" ref="E278">+INDEX('OUTCOME MODEL'!$C$10:$H$87,MATCH(Table1[[#This Row],[DRIVERS]]&amp;Table1[[#This Row],[DEMAND]],'OUTCOME MODEL'!$A$10:$A$87&amp;'OUTCOME MODEL'!$B$10:$B$87,0),MATCH(Table1[[#This Row],[CAPACITY]],'OUTCOME MODEL'!$C$9:$H$9))</f>
        <v>0.13403288572182256</v>
      </c>
      <c r="F278" s="58">
        <f t="array" ref="F278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278" s="60">
        <f t="array" ref="G278">+INDEX('OUTCOME MODEL'!$O$10:$T$87,MATCH(Table1[[#This Row],[DRIVERS]]&amp;Table1[[#This Row],[DEMAND]],'OUTCOME MODEL'!$A$10:$A$87&amp;'OUTCOME MODEL'!$B$10:$B$87,0),MATCH(Table1[[#This Row],[CAPACITY]],'OUTCOME MODEL'!$O$9:$T$9))</f>
        <v>0.25</v>
      </c>
    </row>
    <row r="279" spans="1:7" x14ac:dyDescent="0.35">
      <c r="A279" s="19">
        <v>4</v>
      </c>
      <c r="B279" s="20">
        <v>2</v>
      </c>
      <c r="C279">
        <v>2.5</v>
      </c>
      <c r="D279" s="46">
        <f t="array" ref="D279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79" s="58">
        <f t="array" ref="E279">+INDEX('OUTCOME MODEL'!$C$10:$H$87,MATCH(Table1[[#This Row],[DRIVERS]]&amp;Table1[[#This Row],[DEMAND]],'OUTCOME MODEL'!$A$10:$A$87&amp;'OUTCOME MODEL'!$B$10:$B$87,0),MATCH(Table1[[#This Row],[CAPACITY]],'OUTCOME MODEL'!$C$9:$H$9))</f>
        <v>0.26411268117086045</v>
      </c>
      <c r="F279" s="58">
        <f t="array" ref="F279">+INDEX('OUTCOME MODEL'!$I$10:$N$87,MATCH(Table1[[#This Row],[DRIVERS]]&amp;Table1[[#This Row],[DEMAND]],'OUTCOME MODEL'!$A$10:$A$87&amp;'OUTCOME MODEL'!$B$10:$B$87,0),MATCH(Table1[[#This Row],[CAPACITY]],'OUTCOME MODEL'!$I$9:$N$9))</f>
        <v>0.99099999999999999</v>
      </c>
      <c r="G279" s="60">
        <f t="array" ref="G279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280" spans="1:7" x14ac:dyDescent="0.35">
      <c r="A280" s="45">
        <v>4</v>
      </c>
      <c r="B280" s="22">
        <v>3</v>
      </c>
      <c r="C280">
        <v>2.5</v>
      </c>
      <c r="D280" s="46">
        <f t="array" ref="D280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80" s="58">
        <f t="array" ref="E280">+INDEX('OUTCOME MODEL'!$C$10:$H$87,MATCH(Table1[[#This Row],[DRIVERS]]&amp;Table1[[#This Row],[DEMAND]],'OUTCOME MODEL'!$A$10:$A$87&amp;'OUTCOME MODEL'!$B$10:$B$87,0),MATCH(Table1[[#This Row],[CAPACITY]],'OUTCOME MODEL'!$C$9:$H$9))</f>
        <v>0.38901810198296138</v>
      </c>
      <c r="F280" s="58">
        <f t="array" ref="F280">+INDEX('OUTCOME MODEL'!$I$10:$N$87,MATCH(Table1[[#This Row],[DRIVERS]]&amp;Table1[[#This Row],[DEMAND]],'OUTCOME MODEL'!$A$10:$A$87&amp;'OUTCOME MODEL'!$B$10:$B$87,0),MATCH(Table1[[#This Row],[CAPACITY]],'OUTCOME MODEL'!$I$9:$N$9))</f>
        <v>0.98399999999999999</v>
      </c>
      <c r="G280" s="60">
        <f t="array" ref="G280">+INDEX('OUTCOME MODEL'!$O$10:$T$87,MATCH(Table1[[#This Row],[DRIVERS]]&amp;Table1[[#This Row],[DEMAND]],'OUTCOME MODEL'!$A$10:$A$87&amp;'OUTCOME MODEL'!$B$10:$B$87,0),MATCH(Table1[[#This Row],[CAPACITY]],'OUTCOME MODEL'!$O$9:$T$9))</f>
        <v>0.75</v>
      </c>
    </row>
    <row r="281" spans="1:7" x14ac:dyDescent="0.35">
      <c r="A281" s="45">
        <v>4</v>
      </c>
      <c r="B281" s="22">
        <v>4</v>
      </c>
      <c r="C281">
        <v>2.5</v>
      </c>
      <c r="D281" s="46">
        <f t="array" ref="D281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81" s="58">
        <f t="array" ref="E281">+INDEX('OUTCOME MODEL'!$C$10:$H$87,MATCH(Table1[[#This Row],[DRIVERS]]&amp;Table1[[#This Row],[DEMAND]],'OUTCOME MODEL'!$A$10:$A$87&amp;'OUTCOME MODEL'!$B$10:$B$87,0),MATCH(Table1[[#This Row],[CAPACITY]],'OUTCOME MODEL'!$C$9:$H$9))</f>
        <v>0.49208974537047273</v>
      </c>
      <c r="F281" s="58">
        <f t="array" ref="F281">+INDEX('OUTCOME MODEL'!$I$10:$N$87,MATCH(Table1[[#This Row],[DRIVERS]]&amp;Table1[[#This Row],[DEMAND]],'OUTCOME MODEL'!$A$10:$A$87&amp;'OUTCOME MODEL'!$B$10:$B$87,0),MATCH(Table1[[#This Row],[CAPACITY]],'OUTCOME MODEL'!$I$9:$N$9))</f>
        <v>0.97399999999999998</v>
      </c>
      <c r="G281" s="60">
        <f t="array" ref="G28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82" spans="1:7" x14ac:dyDescent="0.35">
      <c r="A282" s="45">
        <v>4</v>
      </c>
      <c r="B282" s="22">
        <v>5</v>
      </c>
      <c r="C282">
        <v>2.5</v>
      </c>
      <c r="D282" s="46">
        <f t="array" ref="D282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82" s="58">
        <f t="array" ref="E282">+INDEX('OUTCOME MODEL'!$C$10:$H$87,MATCH(Table1[[#This Row],[DRIVERS]]&amp;Table1[[#This Row],[DEMAND]],'OUTCOME MODEL'!$A$10:$A$87&amp;'OUTCOME MODEL'!$B$10:$B$87,0),MATCH(Table1[[#This Row],[CAPACITY]],'OUTCOME MODEL'!$C$9:$H$9))</f>
        <v>0.60228242057669201</v>
      </c>
      <c r="F282" s="58">
        <f t="array" ref="F282">+INDEX('OUTCOME MODEL'!$I$10:$N$87,MATCH(Table1[[#This Row],[DRIVERS]]&amp;Table1[[#This Row],[DEMAND]],'OUTCOME MODEL'!$A$10:$A$87&amp;'OUTCOME MODEL'!$B$10:$B$87,0),MATCH(Table1[[#This Row],[CAPACITY]],'OUTCOME MODEL'!$I$9:$N$9))</f>
        <v>0.95299999999999996</v>
      </c>
      <c r="G282" s="60">
        <f t="array" ref="G282">+INDEX('OUTCOME MODEL'!$O$10:$T$87,MATCH(Table1[[#This Row],[DRIVERS]]&amp;Table1[[#This Row],[DEMAND]],'OUTCOME MODEL'!$A$10:$A$87&amp;'OUTCOME MODEL'!$B$10:$B$87,0),MATCH(Table1[[#This Row],[CAPACITY]],'OUTCOME MODEL'!$O$9:$T$9))</f>
        <v>1.25</v>
      </c>
    </row>
    <row r="283" spans="1:7" x14ac:dyDescent="0.35">
      <c r="A283" s="45">
        <v>4</v>
      </c>
      <c r="B283" s="22">
        <v>6</v>
      </c>
      <c r="C283">
        <v>2.5</v>
      </c>
      <c r="D283" s="46">
        <f t="array" ref="D283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283" s="58">
        <f t="array" ref="E283">+INDEX('OUTCOME MODEL'!$C$10:$H$87,MATCH(Table1[[#This Row],[DRIVERS]]&amp;Table1[[#This Row],[DEMAND]],'OUTCOME MODEL'!$A$10:$A$87&amp;'OUTCOME MODEL'!$B$10:$B$87,0),MATCH(Table1[[#This Row],[CAPACITY]],'OUTCOME MODEL'!$C$9:$H$9))</f>
        <v>0.68947616227668296</v>
      </c>
      <c r="F283" s="58">
        <f t="array" ref="F283">+INDEX('OUTCOME MODEL'!$I$10:$N$87,MATCH(Table1[[#This Row],[DRIVERS]]&amp;Table1[[#This Row],[DEMAND]],'OUTCOME MODEL'!$A$10:$A$87&amp;'OUTCOME MODEL'!$B$10:$B$87,0),MATCH(Table1[[#This Row],[CAPACITY]],'OUTCOME MODEL'!$I$9:$N$9))</f>
        <v>0.92600000000000005</v>
      </c>
      <c r="G283" s="60">
        <f t="array" ref="G283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284" spans="1:7" x14ac:dyDescent="0.35">
      <c r="A284" s="45">
        <v>4</v>
      </c>
      <c r="B284" s="22">
        <v>7</v>
      </c>
      <c r="C284">
        <v>2.5</v>
      </c>
      <c r="D284" s="46">
        <f t="array" ref="D284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284" s="58">
        <f t="array" ref="E284">+INDEX('OUTCOME MODEL'!$C$10:$H$87,MATCH(Table1[[#This Row],[DRIVERS]]&amp;Table1[[#This Row],[DEMAND]],'OUTCOME MODEL'!$A$10:$A$87&amp;'OUTCOME MODEL'!$B$10:$B$87,0),MATCH(Table1[[#This Row],[CAPACITY]],'OUTCOME MODEL'!$C$9:$H$9))</f>
        <v>0.76231047422648524</v>
      </c>
      <c r="F284" s="58">
        <f t="array" ref="F284">+INDEX('OUTCOME MODEL'!$I$10:$N$87,MATCH(Table1[[#This Row],[DRIVERS]]&amp;Table1[[#This Row],[DEMAND]],'OUTCOME MODEL'!$A$10:$A$87&amp;'OUTCOME MODEL'!$B$10:$B$87,0),MATCH(Table1[[#This Row],[CAPACITY]],'OUTCOME MODEL'!$I$9:$N$9))</f>
        <v>0.90600000000000003</v>
      </c>
      <c r="G284" s="60">
        <f t="array" ref="G284">+INDEX('OUTCOME MODEL'!$O$10:$T$87,MATCH(Table1[[#This Row],[DRIVERS]]&amp;Table1[[#This Row],[DEMAND]],'OUTCOME MODEL'!$A$10:$A$87&amp;'OUTCOME MODEL'!$B$10:$B$87,0),MATCH(Table1[[#This Row],[CAPACITY]],'OUTCOME MODEL'!$O$9:$T$9))</f>
        <v>1.75</v>
      </c>
    </row>
    <row r="285" spans="1:7" x14ac:dyDescent="0.35">
      <c r="A285" s="45">
        <v>4</v>
      </c>
      <c r="B285" s="22">
        <v>8</v>
      </c>
      <c r="C285">
        <v>2.5</v>
      </c>
      <c r="D285" s="46">
        <f t="array" ref="D285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285" s="58">
        <f t="array" ref="E285">+INDEX('OUTCOME MODEL'!$C$10:$H$87,MATCH(Table1[[#This Row],[DRIVERS]]&amp;Table1[[#This Row],[DEMAND]],'OUTCOME MODEL'!$A$10:$A$87&amp;'OUTCOME MODEL'!$B$10:$B$87,0),MATCH(Table1[[#This Row],[CAPACITY]],'OUTCOME MODEL'!$C$9:$H$9))</f>
        <v>0.81665993656718683</v>
      </c>
      <c r="F285" s="58">
        <f t="array" ref="F285">+INDEX('OUTCOME MODEL'!$I$10:$N$87,MATCH(Table1[[#This Row],[DRIVERS]]&amp;Table1[[#This Row],[DEMAND]],'OUTCOME MODEL'!$A$10:$A$87&amp;'OUTCOME MODEL'!$B$10:$B$87,0),MATCH(Table1[[#This Row],[CAPACITY]],'OUTCOME MODEL'!$I$9:$N$9))</f>
        <v>0.85299999999999998</v>
      </c>
      <c r="G285" s="60">
        <f t="array" ref="G285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286" spans="1:7" x14ac:dyDescent="0.35">
      <c r="A286" s="45">
        <v>4</v>
      </c>
      <c r="B286" s="22">
        <v>9</v>
      </c>
      <c r="C286">
        <v>2.5</v>
      </c>
      <c r="D286" s="46">
        <f t="array" ref="D286">+INDEX('OUTCOME MODEL'!$U$10:$Z$87,MATCH(Table1[[#This Row],[DRIVERS]]&amp;Table1[[#This Row],[DEMAND]],'OUTCOME MODEL'!$A$10:$A$87&amp;'OUTCOME MODEL'!$B$10:$B$87,0),MATCH(Table1[[#This Row],[CAPACITY]],'OUTCOME MODEL'!$U$9:$Z$9))</f>
        <v>75.693784628294878</v>
      </c>
      <c r="E286" s="58">
        <f t="array" ref="E286">+INDEX('OUTCOME MODEL'!$C$10:$H$87,MATCH(Table1[[#This Row],[DRIVERS]]&amp;Table1[[#This Row],[DEMAND]],'OUTCOME MODEL'!$A$10:$A$87&amp;'OUTCOME MODEL'!$B$10:$B$87,0),MATCH(Table1[[#This Row],[CAPACITY]],'OUTCOME MODEL'!$C$9:$H$9))</f>
        <v>0.86507182432337004</v>
      </c>
      <c r="F286" s="58">
        <f t="array" ref="F286">+INDEX('OUTCOME MODEL'!$I$10:$N$87,MATCH(Table1[[#This Row],[DRIVERS]]&amp;Table1[[#This Row],[DEMAND]],'OUTCOME MODEL'!$A$10:$A$87&amp;'OUTCOME MODEL'!$B$10:$B$87,0),MATCH(Table1[[#This Row],[CAPACITY]],'OUTCOME MODEL'!$I$9:$N$9))</f>
        <v>0.79600000000000004</v>
      </c>
      <c r="G286" s="60">
        <f t="array" ref="G286">+INDEX('OUTCOME MODEL'!$O$10:$T$87,MATCH(Table1[[#This Row],[DRIVERS]]&amp;Table1[[#This Row],[DEMAND]],'OUTCOME MODEL'!$A$10:$A$87&amp;'OUTCOME MODEL'!$B$10:$B$87,0),MATCH(Table1[[#This Row],[CAPACITY]],'OUTCOME MODEL'!$O$9:$T$9))</f>
        <v>2.1626795608084253</v>
      </c>
    </row>
    <row r="287" spans="1:7" x14ac:dyDescent="0.35">
      <c r="A287" s="45">
        <v>4</v>
      </c>
      <c r="B287" s="22">
        <v>10</v>
      </c>
      <c r="C287">
        <v>2.5</v>
      </c>
      <c r="D287" s="46">
        <f t="array" ref="D287">+INDEX('OUTCOME MODEL'!$U$10:$Z$87,MATCH(Table1[[#This Row],[DRIVERS]]&amp;Table1[[#This Row],[DEMAND]],'OUTCOME MODEL'!$A$10:$A$87&amp;'OUTCOME MODEL'!$B$10:$B$87,0),MATCH(Table1[[#This Row],[CAPACITY]],'OUTCOME MODEL'!$U$9:$Z$9))</f>
        <v>78.661609271347558</v>
      </c>
      <c r="E287" s="58">
        <f t="array" ref="E287">+INDEX('OUTCOME MODEL'!$C$10:$H$87,MATCH(Table1[[#This Row],[DRIVERS]]&amp;Table1[[#This Row],[DEMAND]],'OUTCOME MODEL'!$A$10:$A$87&amp;'OUTCOME MODEL'!$B$10:$B$87,0),MATCH(Table1[[#This Row],[CAPACITY]],'OUTCOME MODEL'!$C$9:$H$9))</f>
        <v>0.898989820243972</v>
      </c>
      <c r="F287" s="58">
        <f t="array" ref="F287">+INDEX('OUTCOME MODEL'!$I$10:$N$87,MATCH(Table1[[#This Row],[DRIVERS]]&amp;Table1[[#This Row],[DEMAND]],'OUTCOME MODEL'!$A$10:$A$87&amp;'OUTCOME MODEL'!$B$10:$B$87,0),MATCH(Table1[[#This Row],[CAPACITY]],'OUTCOME MODEL'!$I$9:$N$9))</f>
        <v>0.79400000000000004</v>
      </c>
      <c r="G287" s="60">
        <f t="array" ref="G287">+INDEX('OUTCOME MODEL'!$O$10:$T$87,MATCH(Table1[[#This Row],[DRIVERS]]&amp;Table1[[#This Row],[DEMAND]],'OUTCOME MODEL'!$A$10:$A$87&amp;'OUTCOME MODEL'!$B$10:$B$87,0),MATCH(Table1[[#This Row],[CAPACITY]],'OUTCOME MODEL'!$O$9:$T$9))</f>
        <v>2.2474745506099301</v>
      </c>
    </row>
    <row r="288" spans="1:7" x14ac:dyDescent="0.35">
      <c r="A288" s="45">
        <v>4</v>
      </c>
      <c r="B288" s="22">
        <v>11</v>
      </c>
      <c r="C288">
        <v>2.5</v>
      </c>
      <c r="D288" s="46">
        <f t="array" ref="D288">+INDEX('OUTCOME MODEL'!$U$10:$Z$87,MATCH(Table1[[#This Row],[DRIVERS]]&amp;Table1[[#This Row],[DEMAND]],'OUTCOME MODEL'!$A$10:$A$87&amp;'OUTCOME MODEL'!$B$10:$B$87,0),MATCH(Table1[[#This Row],[CAPACITY]],'OUTCOME MODEL'!$U$9:$Z$9))</f>
        <v>80.806574988369562</v>
      </c>
      <c r="E288" s="58">
        <f t="array" ref="E288">+INDEX('OUTCOME MODEL'!$C$10:$H$87,MATCH(Table1[[#This Row],[DRIVERS]]&amp;Table1[[#This Row],[DEMAND]],'OUTCOME MODEL'!$A$10:$A$87&amp;'OUTCOME MODEL'!$B$10:$B$87,0),MATCH(Table1[[#This Row],[CAPACITY]],'OUTCOME MODEL'!$C$9:$H$9))</f>
        <v>0.92350371415279497</v>
      </c>
      <c r="F288" s="58">
        <f t="array" ref="F288">+INDEX('OUTCOME MODEL'!$I$10:$N$87,MATCH(Table1[[#This Row],[DRIVERS]]&amp;Table1[[#This Row],[DEMAND]],'OUTCOME MODEL'!$A$10:$A$87&amp;'OUTCOME MODEL'!$B$10:$B$87,0),MATCH(Table1[[#This Row],[CAPACITY]],'OUTCOME MODEL'!$I$9:$N$9))</f>
        <v>0.73099999999999998</v>
      </c>
      <c r="G288" s="60">
        <f t="array" ref="G288">+INDEX('OUTCOME MODEL'!$O$10:$T$87,MATCH(Table1[[#This Row],[DRIVERS]]&amp;Table1[[#This Row],[DEMAND]],'OUTCOME MODEL'!$A$10:$A$87&amp;'OUTCOME MODEL'!$B$10:$B$87,0),MATCH(Table1[[#This Row],[CAPACITY]],'OUTCOME MODEL'!$O$9:$T$9))</f>
        <v>2.3087592853819876</v>
      </c>
    </row>
    <row r="289" spans="1:7" x14ac:dyDescent="0.35">
      <c r="A289" s="45">
        <v>4</v>
      </c>
      <c r="B289" s="22">
        <v>12</v>
      </c>
      <c r="C289">
        <v>2.5</v>
      </c>
      <c r="D289" s="46">
        <f t="array" ref="D289">+INDEX('OUTCOME MODEL'!$U$10:$Z$87,MATCH(Table1[[#This Row],[DRIVERS]]&amp;Table1[[#This Row],[DEMAND]],'OUTCOME MODEL'!$A$10:$A$87&amp;'OUTCOME MODEL'!$B$10:$B$87,0),MATCH(Table1[[#This Row],[CAPACITY]],'OUTCOME MODEL'!$U$9:$Z$9))</f>
        <v>83.060417302482705</v>
      </c>
      <c r="E289" s="58">
        <f t="array" ref="E289">+INDEX('OUTCOME MODEL'!$C$10:$H$87,MATCH(Table1[[#This Row],[DRIVERS]]&amp;Table1[[#This Row],[DEMAND]],'OUTCOME MODEL'!$A$10:$A$87&amp;'OUTCOME MODEL'!$B$10:$B$87,0),MATCH(Table1[[#This Row],[CAPACITY]],'OUTCOME MODEL'!$C$9:$H$9))</f>
        <v>0.94926191202837373</v>
      </c>
      <c r="F289" s="58">
        <f t="array" ref="F289">+INDEX('OUTCOME MODEL'!$I$10:$N$87,MATCH(Table1[[#This Row],[DRIVERS]]&amp;Table1[[#This Row],[DEMAND]],'OUTCOME MODEL'!$A$10:$A$87&amp;'OUTCOME MODEL'!$B$10:$B$87,0),MATCH(Table1[[#This Row],[CAPACITY]],'OUTCOME MODEL'!$I$9:$N$9))</f>
        <v>0.70299999999999996</v>
      </c>
      <c r="G289" s="60">
        <f t="array" ref="G289">+INDEX('OUTCOME MODEL'!$O$10:$T$87,MATCH(Table1[[#This Row],[DRIVERS]]&amp;Table1[[#This Row],[DEMAND]],'OUTCOME MODEL'!$A$10:$A$87&amp;'OUTCOME MODEL'!$B$10:$B$87,0),MATCH(Table1[[#This Row],[CAPACITY]],'OUTCOME MODEL'!$O$9:$T$9))</f>
        <v>2.3731547800709345</v>
      </c>
    </row>
    <row r="290" spans="1:7" x14ac:dyDescent="0.35">
      <c r="A290" s="48">
        <v>5</v>
      </c>
      <c r="B290" s="49">
        <v>0</v>
      </c>
      <c r="C290">
        <v>2.5</v>
      </c>
      <c r="D290" s="46">
        <f t="array" ref="D290">+INDEX('OUTCOME MODEL'!$U$10:$Z$87,MATCH(Table1[[#This Row],[DRIVERS]]&amp;Table1[[#This Row],[DEMAND]],'OUTCOME MODEL'!$A$10:$A$87&amp;'OUTCOME MODEL'!$B$10:$B$87,0),MATCH(Table1[[#This Row],[CAPACITY]],'OUTCOME MODEL'!$U$9:$Z$9))</f>
        <v>0</v>
      </c>
      <c r="E290" s="58">
        <f t="array" ref="E290">+INDEX('OUTCOME MODEL'!$C$10:$H$87,MATCH(Table1[[#This Row],[DRIVERS]]&amp;Table1[[#This Row],[DEMAND]],'OUTCOME MODEL'!$A$10:$A$87&amp;'OUTCOME MODEL'!$B$10:$B$87,0),MATCH(Table1[[#This Row],[CAPACITY]],'OUTCOME MODEL'!$C$9:$H$9))</f>
        <v>0</v>
      </c>
      <c r="F290" s="58">
        <f t="array" ref="F29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290" s="60">
        <f t="array" ref="G290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291" spans="1:7" x14ac:dyDescent="0.35">
      <c r="A291" s="19">
        <v>5</v>
      </c>
      <c r="B291" s="20">
        <v>1</v>
      </c>
      <c r="C291">
        <v>2.5</v>
      </c>
      <c r="D291" s="46">
        <f t="array" ref="D291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291" s="58">
        <f t="array" ref="E291">+INDEX('OUTCOME MODEL'!$C$10:$H$87,MATCH(Table1[[#This Row],[DRIVERS]]&amp;Table1[[#This Row],[DEMAND]],'OUTCOME MODEL'!$A$10:$A$87&amp;'OUTCOME MODEL'!$B$10:$B$87,0),MATCH(Table1[[#This Row],[CAPACITY]],'OUTCOME MODEL'!$C$9:$H$9))</f>
        <v>0.10564311898568814</v>
      </c>
      <c r="F291" s="58">
        <f t="array" ref="F291">+INDEX('OUTCOME MODEL'!$I$10:$N$87,MATCH(Table1[[#This Row],[DRIVERS]]&amp;Table1[[#This Row],[DEMAND]],'OUTCOME MODEL'!$A$10:$A$87&amp;'OUTCOME MODEL'!$B$10:$B$87,0),MATCH(Table1[[#This Row],[CAPACITY]],'OUTCOME MODEL'!$I$9:$N$9))</f>
        <v>0.98799999999999999</v>
      </c>
      <c r="G291" s="60">
        <f t="array" ref="G291">+INDEX('OUTCOME MODEL'!$O$10:$T$87,MATCH(Table1[[#This Row],[DRIVERS]]&amp;Table1[[#This Row],[DEMAND]],'OUTCOME MODEL'!$A$10:$A$87&amp;'OUTCOME MODEL'!$B$10:$B$87,0),MATCH(Table1[[#This Row],[CAPACITY]],'OUTCOME MODEL'!$O$9:$T$9))</f>
        <v>0.2</v>
      </c>
    </row>
    <row r="292" spans="1:7" x14ac:dyDescent="0.35">
      <c r="A292" s="45">
        <v>5</v>
      </c>
      <c r="B292" s="22">
        <v>2</v>
      </c>
      <c r="C292">
        <v>2.5</v>
      </c>
      <c r="D292" s="46">
        <f t="array" ref="D292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292" s="58">
        <f t="array" ref="E292">+INDEX('OUTCOME MODEL'!$C$10:$H$87,MATCH(Table1[[#This Row],[DRIVERS]]&amp;Table1[[#This Row],[DEMAND]],'OUTCOME MODEL'!$A$10:$A$87&amp;'OUTCOME MODEL'!$B$10:$B$87,0),MATCH(Table1[[#This Row],[CAPACITY]],'OUTCOME MODEL'!$C$9:$H$9))</f>
        <v>0.20875824011787861</v>
      </c>
      <c r="F292" s="58">
        <f t="array" ref="F292">+INDEX('OUTCOME MODEL'!$I$10:$N$87,MATCH(Table1[[#This Row],[DRIVERS]]&amp;Table1[[#This Row],[DEMAND]],'OUTCOME MODEL'!$A$10:$A$87&amp;'OUTCOME MODEL'!$B$10:$B$87,0),MATCH(Table1[[#This Row],[CAPACITY]],'OUTCOME MODEL'!$I$9:$N$9))</f>
        <v>0.99</v>
      </c>
      <c r="G292" s="60">
        <f t="array" ref="G292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293" spans="1:7" x14ac:dyDescent="0.35">
      <c r="A293" s="45">
        <v>5</v>
      </c>
      <c r="B293" s="22">
        <v>3</v>
      </c>
      <c r="C293">
        <v>2.5</v>
      </c>
      <c r="D293" s="46">
        <f t="array" ref="D293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293" s="58">
        <f t="array" ref="E293">+INDEX('OUTCOME MODEL'!$C$10:$H$87,MATCH(Table1[[#This Row],[DRIVERS]]&amp;Table1[[#This Row],[DEMAND]],'OUTCOME MODEL'!$A$10:$A$87&amp;'OUTCOME MODEL'!$B$10:$B$87,0),MATCH(Table1[[#This Row],[CAPACITY]],'OUTCOME MODEL'!$C$9:$H$9))</f>
        <v>0.31091228806988064</v>
      </c>
      <c r="F293" s="58">
        <f t="array" ref="F293">+INDEX('OUTCOME MODEL'!$I$10:$N$87,MATCH(Table1[[#This Row],[DRIVERS]]&amp;Table1[[#This Row],[DEMAND]],'OUTCOME MODEL'!$A$10:$A$87&amp;'OUTCOME MODEL'!$B$10:$B$87,0),MATCH(Table1[[#This Row],[CAPACITY]],'OUTCOME MODEL'!$I$9:$N$9))</f>
        <v>0.99099999999999999</v>
      </c>
      <c r="G293" s="60">
        <f t="array" ref="G293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294" spans="1:7" x14ac:dyDescent="0.35">
      <c r="A294" s="45">
        <v>5</v>
      </c>
      <c r="B294" s="22">
        <v>4</v>
      </c>
      <c r="C294">
        <v>2.5</v>
      </c>
      <c r="D294" s="46">
        <f t="array" ref="D294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294" s="58">
        <f t="array" ref="E294">+INDEX('OUTCOME MODEL'!$C$10:$H$87,MATCH(Table1[[#This Row],[DRIVERS]]&amp;Table1[[#This Row],[DEMAND]],'OUTCOME MODEL'!$A$10:$A$87&amp;'OUTCOME MODEL'!$B$10:$B$87,0),MATCH(Table1[[#This Row],[CAPACITY]],'OUTCOME MODEL'!$C$9:$H$9))</f>
        <v>0.40593331774214286</v>
      </c>
      <c r="F294" s="58">
        <f t="array" ref="F294">+INDEX('OUTCOME MODEL'!$I$10:$N$87,MATCH(Table1[[#This Row],[DRIVERS]]&amp;Table1[[#This Row],[DEMAND]],'OUTCOME MODEL'!$A$10:$A$87&amp;'OUTCOME MODEL'!$B$10:$B$87,0),MATCH(Table1[[#This Row],[CAPACITY]],'OUTCOME MODEL'!$I$9:$N$9))</f>
        <v>0.98399999999999999</v>
      </c>
      <c r="G294" s="60">
        <f t="array" ref="G294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295" spans="1:7" x14ac:dyDescent="0.35">
      <c r="A295" s="45">
        <v>5</v>
      </c>
      <c r="B295" s="22">
        <v>5</v>
      </c>
      <c r="C295">
        <v>2.5</v>
      </c>
      <c r="D295" s="46">
        <f t="array" ref="D295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295" s="58">
        <f t="array" ref="E295">+INDEX('OUTCOME MODEL'!$C$10:$H$87,MATCH(Table1[[#This Row],[DRIVERS]]&amp;Table1[[#This Row],[DEMAND]],'OUTCOME MODEL'!$A$10:$A$87&amp;'OUTCOME MODEL'!$B$10:$B$87,0),MATCH(Table1[[#This Row],[CAPACITY]],'OUTCOME MODEL'!$C$9:$H$9))</f>
        <v>0.49256864248874688</v>
      </c>
      <c r="F295" s="58">
        <f t="array" ref="F295">+INDEX('OUTCOME MODEL'!$I$10:$N$87,MATCH(Table1[[#This Row],[DRIVERS]]&amp;Table1[[#This Row],[DEMAND]],'OUTCOME MODEL'!$A$10:$A$87&amp;'OUTCOME MODEL'!$B$10:$B$87,0),MATCH(Table1[[#This Row],[CAPACITY]],'OUTCOME MODEL'!$I$9:$N$9))</f>
        <v>0.98699999999999999</v>
      </c>
      <c r="G295" s="60">
        <f t="array" ref="G29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296" spans="1:7" x14ac:dyDescent="0.35">
      <c r="A296" s="45">
        <v>5</v>
      </c>
      <c r="B296" s="22">
        <v>6</v>
      </c>
      <c r="C296">
        <v>2.5</v>
      </c>
      <c r="D296" s="46">
        <f t="array" ref="D296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296" s="58">
        <f t="array" ref="E296">+INDEX('OUTCOME MODEL'!$C$10:$H$87,MATCH(Table1[[#This Row],[DRIVERS]]&amp;Table1[[#This Row],[DEMAND]],'OUTCOME MODEL'!$A$10:$A$87&amp;'OUTCOME MODEL'!$B$10:$B$87,0),MATCH(Table1[[#This Row],[CAPACITY]],'OUTCOME MODEL'!$C$9:$H$9))</f>
        <v>0.58098348480688089</v>
      </c>
      <c r="F296" s="58">
        <f t="array" ref="F296">+INDEX('OUTCOME MODEL'!$I$10:$N$87,MATCH(Table1[[#This Row],[DRIVERS]]&amp;Table1[[#This Row],[DEMAND]],'OUTCOME MODEL'!$A$10:$A$87&amp;'OUTCOME MODEL'!$B$10:$B$87,0),MATCH(Table1[[#This Row],[CAPACITY]],'OUTCOME MODEL'!$I$9:$N$9))</f>
        <v>0.96899999999999997</v>
      </c>
      <c r="G296" s="60">
        <f t="array" ref="G296">+INDEX('OUTCOME MODEL'!$O$10:$T$87,MATCH(Table1[[#This Row],[DRIVERS]]&amp;Table1[[#This Row],[DEMAND]],'OUTCOME MODEL'!$A$10:$A$87&amp;'OUTCOME MODEL'!$B$10:$B$87,0),MATCH(Table1[[#This Row],[CAPACITY]],'OUTCOME MODEL'!$O$9:$T$9))</f>
        <v>1.2</v>
      </c>
    </row>
    <row r="297" spans="1:7" x14ac:dyDescent="0.35">
      <c r="A297" s="45">
        <v>5</v>
      </c>
      <c r="B297" s="22">
        <v>7</v>
      </c>
      <c r="C297">
        <v>2.5</v>
      </c>
      <c r="D297" s="46">
        <f t="array" ref="D297">+INDEX('OUTCOME MODEL'!$U$10:$Z$87,MATCH(Table1[[#This Row],[DRIVERS]]&amp;Table1[[#This Row],[DEMAND]],'OUTCOME MODEL'!$A$10:$A$87&amp;'OUTCOME MODEL'!$B$10:$B$87,0),MATCH(Table1[[#This Row],[CAPACITY]],'OUTCOME MODEL'!$U$9:$Z$9))</f>
        <v>61.250000000000007</v>
      </c>
      <c r="E297" s="58">
        <f t="array" ref="E297">+INDEX('OUTCOME MODEL'!$C$10:$H$87,MATCH(Table1[[#This Row],[DRIVERS]]&amp;Table1[[#This Row],[DEMAND]],'OUTCOME MODEL'!$A$10:$A$87&amp;'OUTCOME MODEL'!$B$10:$B$87,0),MATCH(Table1[[#This Row],[CAPACITY]],'OUTCOME MODEL'!$C$9:$H$9))</f>
        <v>0.65017273303871903</v>
      </c>
      <c r="F297" s="58">
        <f t="array" ref="F297">+INDEX('OUTCOME MODEL'!$I$10:$N$87,MATCH(Table1[[#This Row],[DRIVERS]]&amp;Table1[[#This Row],[DEMAND]],'OUTCOME MODEL'!$A$10:$A$87&amp;'OUTCOME MODEL'!$B$10:$B$87,0),MATCH(Table1[[#This Row],[CAPACITY]],'OUTCOME MODEL'!$I$9:$N$9))</f>
        <v>0.96899999999999997</v>
      </c>
      <c r="G297" s="60">
        <f t="array" ref="G297">+INDEX('OUTCOME MODEL'!$O$10:$T$87,MATCH(Table1[[#This Row],[DRIVERS]]&amp;Table1[[#This Row],[DEMAND]],'OUTCOME MODEL'!$A$10:$A$87&amp;'OUTCOME MODEL'!$B$10:$B$87,0),MATCH(Table1[[#This Row],[CAPACITY]],'OUTCOME MODEL'!$O$9:$T$9))</f>
        <v>1.4</v>
      </c>
    </row>
    <row r="298" spans="1:7" x14ac:dyDescent="0.35">
      <c r="A298" s="45">
        <v>5</v>
      </c>
      <c r="B298" s="22">
        <v>8</v>
      </c>
      <c r="C298">
        <v>2.5</v>
      </c>
      <c r="D298" s="46">
        <f t="array" ref="D298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298" s="58">
        <f t="array" ref="E298">+INDEX('OUTCOME MODEL'!$C$10:$H$87,MATCH(Table1[[#This Row],[DRIVERS]]&amp;Table1[[#This Row],[DEMAND]],'OUTCOME MODEL'!$A$10:$A$87&amp;'OUTCOME MODEL'!$B$10:$B$87,0),MATCH(Table1[[#This Row],[CAPACITY]],'OUTCOME MODEL'!$C$9:$H$9))</f>
        <v>0.71122745970402446</v>
      </c>
      <c r="F298" s="58">
        <f t="array" ref="F298">+INDEX('OUTCOME MODEL'!$I$10:$N$87,MATCH(Table1[[#This Row],[DRIVERS]]&amp;Table1[[#This Row],[DEMAND]],'OUTCOME MODEL'!$A$10:$A$87&amp;'OUTCOME MODEL'!$B$10:$B$87,0),MATCH(Table1[[#This Row],[CAPACITY]],'OUTCOME MODEL'!$I$9:$N$9))</f>
        <v>0.95099999999999996</v>
      </c>
      <c r="G298" s="60">
        <f t="array" ref="G298">+INDEX('OUTCOME MODEL'!$O$10:$T$87,MATCH(Table1[[#This Row],[DRIVERS]]&amp;Table1[[#This Row],[DEMAND]],'OUTCOME MODEL'!$A$10:$A$87&amp;'OUTCOME MODEL'!$B$10:$B$87,0),MATCH(Table1[[#This Row],[CAPACITY]],'OUTCOME MODEL'!$O$9:$T$9))</f>
        <v>1.6</v>
      </c>
    </row>
    <row r="299" spans="1:7" x14ac:dyDescent="0.35">
      <c r="A299" s="45">
        <v>5</v>
      </c>
      <c r="B299" s="22">
        <v>9</v>
      </c>
      <c r="C299">
        <v>2.5</v>
      </c>
      <c r="D299" s="46">
        <f t="array" ref="D299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299" s="58">
        <f t="array" ref="E299">+INDEX('OUTCOME MODEL'!$C$10:$H$87,MATCH(Table1[[#This Row],[DRIVERS]]&amp;Table1[[#This Row],[DEMAND]],'OUTCOME MODEL'!$A$10:$A$87&amp;'OUTCOME MODEL'!$B$10:$B$87,0),MATCH(Table1[[#This Row],[CAPACITY]],'OUTCOME MODEL'!$C$9:$H$9))</f>
        <v>0.76712558006709564</v>
      </c>
      <c r="F299" s="58">
        <f t="array" ref="F299">+INDEX('OUTCOME MODEL'!$I$10:$N$87,MATCH(Table1[[#This Row],[DRIVERS]]&amp;Table1[[#This Row],[DEMAND]],'OUTCOME MODEL'!$A$10:$A$87&amp;'OUTCOME MODEL'!$B$10:$B$87,0),MATCH(Table1[[#This Row],[CAPACITY]],'OUTCOME MODEL'!$I$9:$N$9))</f>
        <v>0.91900000000000004</v>
      </c>
      <c r="G299" s="60">
        <f t="array" ref="G299">+INDEX('OUTCOME MODEL'!$O$10:$T$87,MATCH(Table1[[#This Row],[DRIVERS]]&amp;Table1[[#This Row],[DEMAND]],'OUTCOME MODEL'!$A$10:$A$87&amp;'OUTCOME MODEL'!$B$10:$B$87,0),MATCH(Table1[[#This Row],[CAPACITY]],'OUTCOME MODEL'!$O$9:$T$9))</f>
        <v>1.8</v>
      </c>
    </row>
    <row r="300" spans="1:7" x14ac:dyDescent="0.35">
      <c r="A300" s="45">
        <v>5</v>
      </c>
      <c r="B300" s="22">
        <v>10</v>
      </c>
      <c r="C300">
        <v>2.5</v>
      </c>
      <c r="D300" s="46">
        <f t="array" ref="D300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300" s="58">
        <f t="array" ref="E300">+INDEX('OUTCOME MODEL'!$C$10:$H$87,MATCH(Table1[[#This Row],[DRIVERS]]&amp;Table1[[#This Row],[DEMAND]],'OUTCOME MODEL'!$A$10:$A$87&amp;'OUTCOME MODEL'!$B$10:$B$87,0),MATCH(Table1[[#This Row],[CAPACITY]],'OUTCOME MODEL'!$C$9:$H$9))</f>
        <v>0.81244403920941288</v>
      </c>
      <c r="F300" s="58">
        <f t="array" ref="F300">+INDEX('OUTCOME MODEL'!$I$10:$N$87,MATCH(Table1[[#This Row],[DRIVERS]]&amp;Table1[[#This Row],[DEMAND]],'OUTCOME MODEL'!$A$10:$A$87&amp;'OUTCOME MODEL'!$B$10:$B$87,0),MATCH(Table1[[#This Row],[CAPACITY]],'OUTCOME MODEL'!$I$9:$N$9))</f>
        <v>0.879</v>
      </c>
      <c r="G300" s="60">
        <f t="array" ref="G300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01" spans="1:7" x14ac:dyDescent="0.35">
      <c r="A301" s="45">
        <v>5</v>
      </c>
      <c r="B301" s="22">
        <v>11</v>
      </c>
      <c r="C301">
        <v>2.5</v>
      </c>
      <c r="D301" s="46">
        <f t="array" ref="D301">+INDEX('OUTCOME MODEL'!$U$10:$Z$87,MATCH(Table1[[#This Row],[DRIVERS]]&amp;Table1[[#This Row],[DEMAND]],'OUTCOME MODEL'!$A$10:$A$87&amp;'OUTCOME MODEL'!$B$10:$B$87,0),MATCH(Table1[[#This Row],[CAPACITY]],'OUTCOME MODEL'!$U$9:$Z$9))</f>
        <v>93.240568302691344</v>
      </c>
      <c r="E301" s="58">
        <f t="array" ref="E301">+INDEX('OUTCOME MODEL'!$C$10:$H$87,MATCH(Table1[[#This Row],[DRIVERS]]&amp;Table1[[#This Row],[DEMAND]],'OUTCOME MODEL'!$A$10:$A$87&amp;'OUTCOME MODEL'!$B$10:$B$87,0),MATCH(Table1[[#This Row],[CAPACITY]],'OUTCOME MODEL'!$C$9:$H$9))</f>
        <v>0.8524851959103209</v>
      </c>
      <c r="F301" s="58">
        <f t="array" ref="F301">+INDEX('OUTCOME MODEL'!$I$10:$N$87,MATCH(Table1[[#This Row],[DRIVERS]]&amp;Table1[[#This Row],[DEMAND]],'OUTCOME MODEL'!$A$10:$A$87&amp;'OUTCOME MODEL'!$B$10:$B$87,0),MATCH(Table1[[#This Row],[CAPACITY]],'OUTCOME MODEL'!$I$9:$N$9))</f>
        <v>0.86099999999999999</v>
      </c>
      <c r="G301" s="60">
        <f t="array" ref="G301">+INDEX('OUTCOME MODEL'!$O$10:$T$87,MATCH(Table1[[#This Row],[DRIVERS]]&amp;Table1[[#This Row],[DEMAND]],'OUTCOME MODEL'!$A$10:$A$87&amp;'OUTCOME MODEL'!$B$10:$B$87,0),MATCH(Table1[[#This Row],[CAPACITY]],'OUTCOME MODEL'!$O$9:$T$9))</f>
        <v>2.1312129897758023</v>
      </c>
    </row>
    <row r="302" spans="1:7" x14ac:dyDescent="0.35">
      <c r="A302" s="45">
        <v>5</v>
      </c>
      <c r="B302" s="22">
        <v>12</v>
      </c>
      <c r="C302">
        <v>2.5</v>
      </c>
      <c r="D302" s="46">
        <f t="array" ref="D302">+INDEX('OUTCOME MODEL'!$U$10:$Z$87,MATCH(Table1[[#This Row],[DRIVERS]]&amp;Table1[[#This Row],[DEMAND]],'OUTCOME MODEL'!$A$10:$A$87&amp;'OUTCOME MODEL'!$B$10:$B$87,0),MATCH(Table1[[#This Row],[CAPACITY]],'OUTCOME MODEL'!$U$9:$Z$9))</f>
        <v>95.740408213022121</v>
      </c>
      <c r="E302" s="58">
        <f t="array" ref="E302">+INDEX('OUTCOME MODEL'!$C$10:$H$87,MATCH(Table1[[#This Row],[DRIVERS]]&amp;Table1[[#This Row],[DEMAND]],'OUTCOME MODEL'!$A$10:$A$87&amp;'OUTCOME MODEL'!$B$10:$B$87,0),MATCH(Table1[[#This Row],[CAPACITY]],'OUTCOME MODEL'!$C$9:$H$9))</f>
        <v>0.87534087509048775</v>
      </c>
      <c r="F302" s="58">
        <f t="array" ref="F302">+INDEX('OUTCOME MODEL'!$I$10:$N$87,MATCH(Table1[[#This Row],[DRIVERS]]&amp;Table1[[#This Row],[DEMAND]],'OUTCOME MODEL'!$A$10:$A$87&amp;'OUTCOME MODEL'!$B$10:$B$87,0),MATCH(Table1[[#This Row],[CAPACITY]],'OUTCOME MODEL'!$I$9:$N$9))</f>
        <v>0.81599999999999995</v>
      </c>
      <c r="G302" s="60">
        <f t="array" ref="G302">+INDEX('OUTCOME MODEL'!$O$10:$T$87,MATCH(Table1[[#This Row],[DRIVERS]]&amp;Table1[[#This Row],[DEMAND]],'OUTCOME MODEL'!$A$10:$A$87&amp;'OUTCOME MODEL'!$B$10:$B$87,0),MATCH(Table1[[#This Row],[CAPACITY]],'OUTCOME MODEL'!$O$9:$T$9))</f>
        <v>2.1883521877262195</v>
      </c>
    </row>
    <row r="303" spans="1:7" x14ac:dyDescent="0.35">
      <c r="A303" s="50">
        <v>6</v>
      </c>
      <c r="B303" s="51">
        <v>0</v>
      </c>
      <c r="C303">
        <v>2.5</v>
      </c>
      <c r="D303" s="46">
        <f t="array" ref="D303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03" s="58">
        <f t="array" ref="E303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03" s="58">
        <f t="array" ref="F30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03" s="60">
        <f t="array" ref="G303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04" spans="1:7" x14ac:dyDescent="0.35">
      <c r="A304" s="45">
        <v>6</v>
      </c>
      <c r="B304" s="22">
        <v>1</v>
      </c>
      <c r="C304">
        <v>2.5</v>
      </c>
      <c r="D304" s="46">
        <f t="array" ref="D304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04" s="58">
        <f t="array" ref="E304">+INDEX('OUTCOME MODEL'!$C$10:$H$87,MATCH(Table1[[#This Row],[DRIVERS]]&amp;Table1[[#This Row],[DEMAND]],'OUTCOME MODEL'!$A$10:$A$87&amp;'OUTCOME MODEL'!$B$10:$B$87,0),MATCH(Table1[[#This Row],[CAPACITY]],'OUTCOME MODEL'!$C$9:$H$9))</f>
        <v>8.9149529067078043E-2</v>
      </c>
      <c r="F304" s="58">
        <f t="array" ref="F304">+INDEX('OUTCOME MODEL'!$I$10:$N$87,MATCH(Table1[[#This Row],[DRIVERS]]&amp;Table1[[#This Row],[DEMAND]],'OUTCOME MODEL'!$A$10:$A$87&amp;'OUTCOME MODEL'!$B$10:$B$87,0),MATCH(Table1[[#This Row],[CAPACITY]],'OUTCOME MODEL'!$I$9:$N$9))</f>
        <v>0.99099999999999999</v>
      </c>
      <c r="G304" s="60">
        <f t="array" ref="G304">+INDEX('OUTCOME MODEL'!$O$10:$T$87,MATCH(Table1[[#This Row],[DRIVERS]]&amp;Table1[[#This Row],[DEMAND]],'OUTCOME MODEL'!$A$10:$A$87&amp;'OUTCOME MODEL'!$B$10:$B$87,0),MATCH(Table1[[#This Row],[CAPACITY]],'OUTCOME MODEL'!$O$9:$T$9))</f>
        <v>0.16666666666666666</v>
      </c>
    </row>
    <row r="305" spans="1:7" x14ac:dyDescent="0.35">
      <c r="A305" s="45">
        <v>6</v>
      </c>
      <c r="B305" s="22">
        <v>2</v>
      </c>
      <c r="C305">
        <v>2.5</v>
      </c>
      <c r="D305" s="46">
        <f t="array" ref="D305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05" s="58">
        <f t="array" ref="E305">+INDEX('OUTCOME MODEL'!$C$10:$H$87,MATCH(Table1[[#This Row],[DRIVERS]]&amp;Table1[[#This Row],[DEMAND]],'OUTCOME MODEL'!$A$10:$A$87&amp;'OUTCOME MODEL'!$B$10:$B$87,0),MATCH(Table1[[#This Row],[CAPACITY]],'OUTCOME MODEL'!$C$9:$H$9))</f>
        <v>0.17480250320925314</v>
      </c>
      <c r="F305" s="58">
        <f t="array" ref="F305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05" s="60">
        <f t="array" ref="G305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306" spans="1:7" x14ac:dyDescent="0.35">
      <c r="A306" s="45">
        <v>6</v>
      </c>
      <c r="B306" s="22">
        <v>3</v>
      </c>
      <c r="C306">
        <v>2.5</v>
      </c>
      <c r="D306" s="46">
        <f t="array" ref="D306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06" s="58">
        <f t="array" ref="E306">+INDEX('OUTCOME MODEL'!$C$10:$H$87,MATCH(Table1[[#This Row],[DRIVERS]]&amp;Table1[[#This Row],[DEMAND]],'OUTCOME MODEL'!$A$10:$A$87&amp;'OUTCOME MODEL'!$B$10:$B$87,0),MATCH(Table1[[#This Row],[CAPACITY]],'OUTCOME MODEL'!$C$9:$H$9))</f>
        <v>0.25547719423823473</v>
      </c>
      <c r="F306" s="58">
        <f t="array" ref="F306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06" s="60">
        <f t="array" ref="G306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307" spans="1:7" x14ac:dyDescent="0.35">
      <c r="A307" s="45">
        <v>6</v>
      </c>
      <c r="B307" s="22">
        <v>4</v>
      </c>
      <c r="C307">
        <v>2.5</v>
      </c>
      <c r="D307" s="46">
        <f t="array" ref="D307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07" s="58">
        <f t="array" ref="E307">+INDEX('OUTCOME MODEL'!$C$10:$H$87,MATCH(Table1[[#This Row],[DRIVERS]]&amp;Table1[[#This Row],[DEMAND]],'OUTCOME MODEL'!$A$10:$A$87&amp;'OUTCOME MODEL'!$B$10:$B$87,0),MATCH(Table1[[#This Row],[CAPACITY]],'OUTCOME MODEL'!$C$9:$H$9))</f>
        <v>0.33839494084348842</v>
      </c>
      <c r="F307" s="58">
        <f t="array" ref="F307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307" s="60">
        <f t="array" ref="G307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308" spans="1:7" x14ac:dyDescent="0.35">
      <c r="A308" s="45">
        <v>6</v>
      </c>
      <c r="B308" s="22">
        <v>5</v>
      </c>
      <c r="C308">
        <v>2.5</v>
      </c>
      <c r="D308" s="46">
        <f t="array" ref="D308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08" s="58">
        <f t="array" ref="E308">+INDEX('OUTCOME MODEL'!$C$10:$H$87,MATCH(Table1[[#This Row],[DRIVERS]]&amp;Table1[[#This Row],[DEMAND]],'OUTCOME MODEL'!$A$10:$A$87&amp;'OUTCOME MODEL'!$B$10:$B$87,0),MATCH(Table1[[#This Row],[CAPACITY]],'OUTCOME MODEL'!$C$9:$H$9))</f>
        <v>0.41353296673253964</v>
      </c>
      <c r="F308" s="58">
        <f t="array" ref="F308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08" s="60">
        <f t="array" ref="G308">+INDEX('OUTCOME MODEL'!$O$10:$T$87,MATCH(Table1[[#This Row],[DRIVERS]]&amp;Table1[[#This Row],[DEMAND]],'OUTCOME MODEL'!$A$10:$A$87&amp;'OUTCOME MODEL'!$B$10:$B$87,0),MATCH(Table1[[#This Row],[CAPACITY]],'OUTCOME MODEL'!$O$9:$T$9))</f>
        <v>0.83333333333333337</v>
      </c>
    </row>
    <row r="309" spans="1:7" x14ac:dyDescent="0.35">
      <c r="A309" s="45">
        <v>6</v>
      </c>
      <c r="B309" s="22">
        <v>6</v>
      </c>
      <c r="C309">
        <v>2.5</v>
      </c>
      <c r="D309" s="46">
        <f t="array" ref="D309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309" s="58">
        <f t="array" ref="E309">+INDEX('OUTCOME MODEL'!$C$10:$H$87,MATCH(Table1[[#This Row],[DRIVERS]]&amp;Table1[[#This Row],[DEMAND]],'OUTCOME MODEL'!$A$10:$A$87&amp;'OUTCOME MODEL'!$B$10:$B$87,0),MATCH(Table1[[#This Row],[CAPACITY]],'OUTCOME MODEL'!$C$9:$H$9))</f>
        <v>0.48597111812230442</v>
      </c>
      <c r="F309" s="58">
        <f t="array" ref="F309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09" s="60">
        <f t="array" ref="G30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10" spans="1:7" x14ac:dyDescent="0.35">
      <c r="A310" s="45">
        <v>6</v>
      </c>
      <c r="B310" s="22">
        <v>7</v>
      </c>
      <c r="C310">
        <v>2.5</v>
      </c>
      <c r="D310" s="46">
        <f t="array" ref="D310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310" s="58">
        <f t="array" ref="E310">+INDEX('OUTCOME MODEL'!$C$10:$H$87,MATCH(Table1[[#This Row],[DRIVERS]]&amp;Table1[[#This Row],[DEMAND]],'OUTCOME MODEL'!$A$10:$A$87&amp;'OUTCOME MODEL'!$B$10:$B$87,0),MATCH(Table1[[#This Row],[CAPACITY]],'OUTCOME MODEL'!$C$9:$H$9))</f>
        <v>0.55444635187800873</v>
      </c>
      <c r="F310" s="58">
        <f t="array" ref="F310">+INDEX('OUTCOME MODEL'!$I$10:$N$87,MATCH(Table1[[#This Row],[DRIVERS]]&amp;Table1[[#This Row],[DEMAND]],'OUTCOME MODEL'!$A$10:$A$87&amp;'OUTCOME MODEL'!$B$10:$B$87,0),MATCH(Table1[[#This Row],[CAPACITY]],'OUTCOME MODEL'!$I$9:$N$9))</f>
        <v>0.98599999999999999</v>
      </c>
      <c r="G310" s="60">
        <f t="array" ref="G310">+INDEX('OUTCOME MODEL'!$O$10:$T$87,MATCH(Table1[[#This Row],[DRIVERS]]&amp;Table1[[#This Row],[DEMAND]],'OUTCOME MODEL'!$A$10:$A$87&amp;'OUTCOME MODEL'!$B$10:$B$87,0),MATCH(Table1[[#This Row],[CAPACITY]],'OUTCOME MODEL'!$O$9:$T$9))</f>
        <v>1.1666666666666667</v>
      </c>
    </row>
    <row r="311" spans="1:7" x14ac:dyDescent="0.35">
      <c r="A311" s="45">
        <v>6</v>
      </c>
      <c r="B311" s="22">
        <v>8</v>
      </c>
      <c r="C311">
        <v>2.5</v>
      </c>
      <c r="D311" s="46">
        <f t="array" ref="D311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311" s="58">
        <f t="array" ref="E311">+INDEX('OUTCOME MODEL'!$C$10:$H$87,MATCH(Table1[[#This Row],[DRIVERS]]&amp;Table1[[#This Row],[DEMAND]],'OUTCOME MODEL'!$A$10:$A$87&amp;'OUTCOME MODEL'!$B$10:$B$87,0),MATCH(Table1[[#This Row],[CAPACITY]],'OUTCOME MODEL'!$C$9:$H$9))</f>
        <v>0.61937846670962782</v>
      </c>
      <c r="F311" s="58">
        <f t="array" ref="F311">+INDEX('OUTCOME MODEL'!$I$10:$N$87,MATCH(Table1[[#This Row],[DRIVERS]]&amp;Table1[[#This Row],[DEMAND]],'OUTCOME MODEL'!$A$10:$A$87&amp;'OUTCOME MODEL'!$B$10:$B$87,0),MATCH(Table1[[#This Row],[CAPACITY]],'OUTCOME MODEL'!$I$9:$N$9))</f>
        <v>0.97799999999999998</v>
      </c>
      <c r="G311" s="60">
        <f t="array" ref="G311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312" spans="1:7" x14ac:dyDescent="0.35">
      <c r="A312" s="45">
        <v>6</v>
      </c>
      <c r="B312" s="22">
        <v>9</v>
      </c>
      <c r="C312">
        <v>2.5</v>
      </c>
      <c r="D312" s="46">
        <f t="array" ref="D312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312" s="58">
        <f t="array" ref="E312">+INDEX('OUTCOME MODEL'!$C$10:$H$87,MATCH(Table1[[#This Row],[DRIVERS]]&amp;Table1[[#This Row],[DEMAND]],'OUTCOME MODEL'!$A$10:$A$87&amp;'OUTCOME MODEL'!$B$10:$B$87,0),MATCH(Table1[[#This Row],[CAPACITY]],'OUTCOME MODEL'!$C$9:$H$9))</f>
        <v>0.67614639032170154</v>
      </c>
      <c r="F312" s="58">
        <f t="array" ref="F312">+INDEX('OUTCOME MODEL'!$I$10:$N$87,MATCH(Table1[[#This Row],[DRIVERS]]&amp;Table1[[#This Row],[DEMAND]],'OUTCOME MODEL'!$A$10:$A$87&amp;'OUTCOME MODEL'!$B$10:$B$87,0),MATCH(Table1[[#This Row],[CAPACITY]],'OUTCOME MODEL'!$I$9:$N$9))</f>
        <v>0.95899999999999996</v>
      </c>
      <c r="G312" s="60">
        <f t="array" ref="G312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313" spans="1:7" x14ac:dyDescent="0.35">
      <c r="A313" s="45">
        <v>6</v>
      </c>
      <c r="B313" s="22">
        <v>10</v>
      </c>
      <c r="C313">
        <v>2.5</v>
      </c>
      <c r="D313" s="46">
        <f t="array" ref="D313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313" s="58">
        <f t="array" ref="E313">+INDEX('OUTCOME MODEL'!$C$10:$H$87,MATCH(Table1[[#This Row],[DRIVERS]]&amp;Table1[[#This Row],[DEMAND]],'OUTCOME MODEL'!$A$10:$A$87&amp;'OUTCOME MODEL'!$B$10:$B$87,0),MATCH(Table1[[#This Row],[CAPACITY]],'OUTCOME MODEL'!$C$9:$H$9))</f>
        <v>0.72200163666689865</v>
      </c>
      <c r="F313" s="58">
        <f t="array" ref="F313">+INDEX('OUTCOME MODEL'!$I$10:$N$87,MATCH(Table1[[#This Row],[DRIVERS]]&amp;Table1[[#This Row],[DEMAND]],'OUTCOME MODEL'!$A$10:$A$87&amp;'OUTCOME MODEL'!$B$10:$B$87,0),MATCH(Table1[[#This Row],[CAPACITY]],'OUTCOME MODEL'!$I$9:$N$9))</f>
        <v>0.95299999999999996</v>
      </c>
      <c r="G313" s="60">
        <f t="array" ref="G313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314" spans="1:7" x14ac:dyDescent="0.35">
      <c r="A314" s="45">
        <v>6</v>
      </c>
      <c r="B314" s="22">
        <v>11</v>
      </c>
      <c r="C314">
        <v>2.5</v>
      </c>
      <c r="D314" s="46">
        <f t="array" ref="D314">+INDEX('OUTCOME MODEL'!$U$10:$Z$87,MATCH(Table1[[#This Row],[DRIVERS]]&amp;Table1[[#This Row],[DEMAND]],'OUTCOME MODEL'!$A$10:$A$87&amp;'OUTCOME MODEL'!$B$10:$B$87,0),MATCH(Table1[[#This Row],[CAPACITY]],'OUTCOME MODEL'!$U$9:$Z$9))</f>
        <v>96.25</v>
      </c>
      <c r="E314" s="58">
        <f t="array" ref="E314">+INDEX('OUTCOME MODEL'!$C$10:$H$87,MATCH(Table1[[#This Row],[DRIVERS]]&amp;Table1[[#This Row],[DEMAND]],'OUTCOME MODEL'!$A$10:$A$87&amp;'OUTCOME MODEL'!$B$10:$B$87,0),MATCH(Table1[[#This Row],[CAPACITY]],'OUTCOME MODEL'!$C$9:$H$9))</f>
        <v>0.76308808444211029</v>
      </c>
      <c r="F314" s="58">
        <f t="array" ref="F314">+INDEX('OUTCOME MODEL'!$I$10:$N$87,MATCH(Table1[[#This Row],[DRIVERS]]&amp;Table1[[#This Row],[DEMAND]],'OUTCOME MODEL'!$A$10:$A$87&amp;'OUTCOME MODEL'!$B$10:$B$87,0),MATCH(Table1[[#This Row],[CAPACITY]],'OUTCOME MODEL'!$I$9:$N$9))</f>
        <v>0.93300000000000005</v>
      </c>
      <c r="G314" s="60">
        <f t="array" ref="G314">+INDEX('OUTCOME MODEL'!$O$10:$T$87,MATCH(Table1[[#This Row],[DRIVERS]]&amp;Table1[[#This Row],[DEMAND]],'OUTCOME MODEL'!$A$10:$A$87&amp;'OUTCOME MODEL'!$B$10:$B$87,0),MATCH(Table1[[#This Row],[CAPACITY]],'OUTCOME MODEL'!$O$9:$T$9))</f>
        <v>1.8333333333333333</v>
      </c>
    </row>
    <row r="315" spans="1:7" x14ac:dyDescent="0.35">
      <c r="A315" s="19">
        <v>6</v>
      </c>
      <c r="B315" s="20">
        <v>12</v>
      </c>
      <c r="C315">
        <v>2.5</v>
      </c>
      <c r="D315" s="46">
        <f t="array" ref="D315">+INDEX('OUTCOME MODEL'!$U$10:$Z$87,MATCH(Table1[[#This Row],[DRIVERS]]&amp;Table1[[#This Row],[DEMAND]],'OUTCOME MODEL'!$A$10:$A$87&amp;'OUTCOME MODEL'!$B$10:$B$87,0),MATCH(Table1[[#This Row],[CAPACITY]],'OUTCOME MODEL'!$U$9:$Z$9))</f>
        <v>104.63673866379762</v>
      </c>
      <c r="E315" s="58">
        <f t="array" ref="E315">+INDEX('OUTCOME MODEL'!$C$10:$H$87,MATCH(Table1[[#This Row],[DRIVERS]]&amp;Table1[[#This Row],[DEMAND]],'OUTCOME MODEL'!$A$10:$A$87&amp;'OUTCOME MODEL'!$B$10:$B$87,0),MATCH(Table1[[#This Row],[CAPACITY]],'OUTCOME MODEL'!$C$9:$H$9))</f>
        <v>0.79723229458131506</v>
      </c>
      <c r="F315" s="58">
        <f t="array" ref="F315">+INDEX('OUTCOME MODEL'!$I$10:$N$87,MATCH(Table1[[#This Row],[DRIVERS]]&amp;Table1[[#This Row],[DEMAND]],'OUTCOME MODEL'!$A$10:$A$87&amp;'OUTCOME MODEL'!$B$10:$B$87,0),MATCH(Table1[[#This Row],[CAPACITY]],'OUTCOME MODEL'!$I$9:$N$9))</f>
        <v>0.9</v>
      </c>
      <c r="G315" s="60">
        <f t="array" ref="G315">+INDEX('OUTCOME MODEL'!$O$10:$T$87,MATCH(Table1[[#This Row],[DRIVERS]]&amp;Table1[[#This Row],[DEMAND]],'OUTCOME MODEL'!$A$10:$A$87&amp;'OUTCOME MODEL'!$B$10:$B$87,0),MATCH(Table1[[#This Row],[CAPACITY]],'OUTCOME MODEL'!$O$9:$T$9))</f>
        <v>1.9930807364532876</v>
      </c>
    </row>
    <row r="316" spans="1:7" x14ac:dyDescent="0.35">
      <c r="A316" s="48">
        <v>1</v>
      </c>
      <c r="B316" s="49">
        <v>0</v>
      </c>
      <c r="C316">
        <v>3</v>
      </c>
      <c r="D316" s="46">
        <f t="array" ref="D316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16" s="58">
        <f t="array" ref="E316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16" s="58">
        <f t="array" ref="F31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16" s="60">
        <f t="array" ref="G316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17" spans="1:7" x14ac:dyDescent="0.35">
      <c r="A317" s="45">
        <v>1</v>
      </c>
      <c r="B317" s="22">
        <v>1</v>
      </c>
      <c r="C317">
        <v>3</v>
      </c>
      <c r="D317" s="46">
        <f t="array" ref="D317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17" s="58">
        <f t="array" ref="E317">+INDEX('OUTCOME MODEL'!$C$10:$H$87,MATCH(Table1[[#This Row],[DRIVERS]]&amp;Table1[[#This Row],[DEMAND]],'OUTCOME MODEL'!$A$10:$A$87&amp;'OUTCOME MODEL'!$B$10:$B$87,0),MATCH(Table1[[#This Row],[CAPACITY]],'OUTCOME MODEL'!$C$9:$H$9))</f>
        <v>0.40262708883667497</v>
      </c>
      <c r="F317" s="58">
        <f t="array" ref="F317">+INDEX('OUTCOME MODEL'!$I$10:$N$87,MATCH(Table1[[#This Row],[DRIVERS]]&amp;Table1[[#This Row],[DEMAND]],'OUTCOME MODEL'!$A$10:$A$87&amp;'OUTCOME MODEL'!$B$10:$B$87,0),MATCH(Table1[[#This Row],[CAPACITY]],'OUTCOME MODEL'!$I$9:$N$9))</f>
        <v>0.876</v>
      </c>
      <c r="G317" s="60">
        <f t="array" ref="G31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18" spans="1:7" x14ac:dyDescent="0.35">
      <c r="A318" s="45">
        <v>1</v>
      </c>
      <c r="B318" s="22">
        <v>2</v>
      </c>
      <c r="C318">
        <v>3</v>
      </c>
      <c r="D318" s="46">
        <f t="array" ref="D318">+INDEX('OUTCOME MODEL'!$U$10:$Z$87,MATCH(Table1[[#This Row],[DRIVERS]]&amp;Table1[[#This Row],[DEMAND]],'OUTCOME MODEL'!$A$10:$A$87&amp;'OUTCOME MODEL'!$B$10:$B$87,0),MATCH(Table1[[#This Row],[CAPACITY]],'OUTCOME MODEL'!$U$9:$Z$9))</f>
        <v>17.291681901051238</v>
      </c>
      <c r="E318" s="58">
        <f t="array" ref="E318">+INDEX('OUTCOME MODEL'!$C$10:$H$87,MATCH(Table1[[#This Row],[DRIVERS]]&amp;Table1[[#This Row],[DEMAND]],'OUTCOME MODEL'!$A$10:$A$87&amp;'OUTCOME MODEL'!$B$10:$B$87,0),MATCH(Table1[[#This Row],[CAPACITY]],'OUTCOME MODEL'!$C$9:$H$9))</f>
        <v>0.65873073908766622</v>
      </c>
      <c r="F318" s="58">
        <f t="array" ref="F318">+INDEX('OUTCOME MODEL'!$I$10:$N$87,MATCH(Table1[[#This Row],[DRIVERS]]&amp;Table1[[#This Row],[DEMAND]],'OUTCOME MODEL'!$A$10:$A$87&amp;'OUTCOME MODEL'!$B$10:$B$87,0),MATCH(Table1[[#This Row],[CAPACITY]],'OUTCOME MODEL'!$I$9:$N$9))</f>
        <v>0.73799999999999999</v>
      </c>
      <c r="G318" s="60">
        <f t="array" ref="G318">+INDEX('OUTCOME MODEL'!$O$10:$T$87,MATCH(Table1[[#This Row],[DRIVERS]]&amp;Table1[[#This Row],[DEMAND]],'OUTCOME MODEL'!$A$10:$A$87&amp;'OUTCOME MODEL'!$B$10:$B$87,0),MATCH(Table1[[#This Row],[CAPACITY]],'OUTCOME MODEL'!$O$9:$T$9))</f>
        <v>1.9761922172629987</v>
      </c>
    </row>
    <row r="319" spans="1:7" x14ac:dyDescent="0.35">
      <c r="A319" s="45">
        <v>1</v>
      </c>
      <c r="B319" s="22">
        <v>3</v>
      </c>
      <c r="C319">
        <v>3</v>
      </c>
      <c r="D319" s="46">
        <f t="array" ref="D319">+INDEX('OUTCOME MODEL'!$U$10:$Z$87,MATCH(Table1[[#This Row],[DRIVERS]]&amp;Table1[[#This Row],[DEMAND]],'OUTCOME MODEL'!$A$10:$A$87&amp;'OUTCOME MODEL'!$B$10:$B$87,0),MATCH(Table1[[#This Row],[CAPACITY]],'OUTCOME MODEL'!$U$9:$Z$9))</f>
        <v>21.282560190822846</v>
      </c>
      <c r="E319" s="58">
        <f t="array" ref="E319">+INDEX('OUTCOME MODEL'!$C$10:$H$87,MATCH(Table1[[#This Row],[DRIVERS]]&amp;Table1[[#This Row],[DEMAND]],'OUTCOME MODEL'!$A$10:$A$87&amp;'OUTCOME MODEL'!$B$10:$B$87,0),MATCH(Table1[[#This Row],[CAPACITY]],'OUTCOME MODEL'!$C$9:$H$9))</f>
        <v>0.81076419774563213</v>
      </c>
      <c r="F319" s="58">
        <f t="array" ref="F319">+INDEX('OUTCOME MODEL'!$I$10:$N$87,MATCH(Table1[[#This Row],[DRIVERS]]&amp;Table1[[#This Row],[DEMAND]],'OUTCOME MODEL'!$A$10:$A$87&amp;'OUTCOME MODEL'!$B$10:$B$87,0),MATCH(Table1[[#This Row],[CAPACITY]],'OUTCOME MODEL'!$I$9:$N$9))</f>
        <v>0.59399999999999997</v>
      </c>
      <c r="G319" s="60">
        <f t="array" ref="G319">+INDEX('OUTCOME MODEL'!$O$10:$T$87,MATCH(Table1[[#This Row],[DRIVERS]]&amp;Table1[[#This Row],[DEMAND]],'OUTCOME MODEL'!$A$10:$A$87&amp;'OUTCOME MODEL'!$B$10:$B$87,0),MATCH(Table1[[#This Row],[CAPACITY]],'OUTCOME MODEL'!$O$9:$T$9))</f>
        <v>2.4322925932368964</v>
      </c>
    </row>
    <row r="320" spans="1:7" x14ac:dyDescent="0.35">
      <c r="A320" s="45">
        <v>1</v>
      </c>
      <c r="B320" s="22">
        <v>4</v>
      </c>
      <c r="C320">
        <v>3</v>
      </c>
      <c r="D320" s="46">
        <f t="array" ref="D320">+INDEX('OUTCOME MODEL'!$U$10:$Z$87,MATCH(Table1[[#This Row],[DRIVERS]]&amp;Table1[[#This Row],[DEMAND]],'OUTCOME MODEL'!$A$10:$A$87&amp;'OUTCOME MODEL'!$B$10:$B$87,0),MATCH(Table1[[#This Row],[CAPACITY]],'OUTCOME MODEL'!$U$9:$Z$9))</f>
        <v>23.557856145337464</v>
      </c>
      <c r="E320" s="58">
        <f t="array" ref="E320">+INDEX('OUTCOME MODEL'!$C$10:$H$87,MATCH(Table1[[#This Row],[DRIVERS]]&amp;Table1[[#This Row],[DEMAND]],'OUTCOME MODEL'!$A$10:$A$87&amp;'OUTCOME MODEL'!$B$10:$B$87,0),MATCH(Table1[[#This Row],[CAPACITY]],'OUTCOME MODEL'!$C$9:$H$9))</f>
        <v>0.89744213886999868</v>
      </c>
      <c r="F320" s="58">
        <f t="array" ref="F320">+INDEX('OUTCOME MODEL'!$I$10:$N$87,MATCH(Table1[[#This Row],[DRIVERS]]&amp;Table1[[#This Row],[DEMAND]],'OUTCOME MODEL'!$A$10:$A$87&amp;'OUTCOME MODEL'!$B$10:$B$87,0),MATCH(Table1[[#This Row],[CAPACITY]],'OUTCOME MODEL'!$I$9:$N$9))</f>
        <v>0.497</v>
      </c>
      <c r="G320" s="60">
        <f t="array" ref="G320">+INDEX('OUTCOME MODEL'!$O$10:$T$87,MATCH(Table1[[#This Row],[DRIVERS]]&amp;Table1[[#This Row],[DEMAND]],'OUTCOME MODEL'!$A$10:$A$87&amp;'OUTCOME MODEL'!$B$10:$B$87,0),MATCH(Table1[[#This Row],[CAPACITY]],'OUTCOME MODEL'!$O$9:$T$9))</f>
        <v>2.6923264166099958</v>
      </c>
    </row>
    <row r="321" spans="1:7" x14ac:dyDescent="0.35">
      <c r="A321" s="45">
        <v>1</v>
      </c>
      <c r="B321" s="22">
        <v>5</v>
      </c>
      <c r="C321">
        <v>3</v>
      </c>
      <c r="D321" s="46">
        <f t="array" ref="D321">+INDEX('OUTCOME MODEL'!$U$10:$Z$87,MATCH(Table1[[#This Row],[DRIVERS]]&amp;Table1[[#This Row],[DEMAND]],'OUTCOME MODEL'!$A$10:$A$87&amp;'OUTCOME MODEL'!$B$10:$B$87,0),MATCH(Table1[[#This Row],[CAPACITY]],'OUTCOME MODEL'!$U$9:$Z$9))</f>
        <v>24.770587847704221</v>
      </c>
      <c r="E321" s="58">
        <f t="array" ref="E321">+INDEX('OUTCOME MODEL'!$C$10:$H$87,MATCH(Table1[[#This Row],[DRIVERS]]&amp;Table1[[#This Row],[DEMAND]],'OUTCOME MODEL'!$A$10:$A$87&amp;'OUTCOME MODEL'!$B$10:$B$87,0),MATCH(Table1[[#This Row],[CAPACITY]],'OUTCOME MODEL'!$C$9:$H$9))</f>
        <v>0.94364144181730369</v>
      </c>
      <c r="F321" s="58">
        <f t="array" ref="F321">+INDEX('OUTCOME MODEL'!$I$10:$N$87,MATCH(Table1[[#This Row],[DRIVERS]]&amp;Table1[[#This Row],[DEMAND]],'OUTCOME MODEL'!$A$10:$A$87&amp;'OUTCOME MODEL'!$B$10:$B$87,0),MATCH(Table1[[#This Row],[CAPACITY]],'OUTCOME MODEL'!$I$9:$N$9))</f>
        <v>0.433</v>
      </c>
      <c r="G321" s="60">
        <f t="array" ref="G321">+INDEX('OUTCOME MODEL'!$O$10:$T$87,MATCH(Table1[[#This Row],[DRIVERS]]&amp;Table1[[#This Row],[DEMAND]],'OUTCOME MODEL'!$A$10:$A$87&amp;'OUTCOME MODEL'!$B$10:$B$87,0),MATCH(Table1[[#This Row],[CAPACITY]],'OUTCOME MODEL'!$O$9:$T$9))</f>
        <v>2.8309243254519112</v>
      </c>
    </row>
    <row r="322" spans="1:7" x14ac:dyDescent="0.35">
      <c r="A322" s="45">
        <v>1</v>
      </c>
      <c r="B322" s="22">
        <v>6</v>
      </c>
      <c r="C322">
        <v>3</v>
      </c>
      <c r="D322" s="46">
        <f t="array" ref="D322">+INDEX('OUTCOME MODEL'!$U$10:$Z$87,MATCH(Table1[[#This Row],[DRIVERS]]&amp;Table1[[#This Row],[DEMAND]],'OUTCOME MODEL'!$A$10:$A$87&amp;'OUTCOME MODEL'!$B$10:$B$87,0),MATCH(Table1[[#This Row],[CAPACITY]],'OUTCOME MODEL'!$U$9:$Z$9))</f>
        <v>25.788468274329087</v>
      </c>
      <c r="E322" s="58">
        <f t="array" ref="E322">+INDEX('OUTCOME MODEL'!$C$10:$H$87,MATCH(Table1[[#This Row],[DRIVERS]]&amp;Table1[[#This Row],[DEMAND]],'OUTCOME MODEL'!$A$10:$A$87&amp;'OUTCOME MODEL'!$B$10:$B$87,0),MATCH(Table1[[#This Row],[CAPACITY]],'OUTCOME MODEL'!$C$9:$H$9))</f>
        <v>0.98241783902206059</v>
      </c>
      <c r="F322" s="58">
        <f t="array" ref="F322">+INDEX('OUTCOME MODEL'!$I$10:$N$87,MATCH(Table1[[#This Row],[DRIVERS]]&amp;Table1[[#This Row],[DEMAND]],'OUTCOME MODEL'!$A$10:$A$87&amp;'OUTCOME MODEL'!$B$10:$B$87,0),MATCH(Table1[[#This Row],[CAPACITY]],'OUTCOME MODEL'!$I$9:$N$9))</f>
        <v>0.34300000000000003</v>
      </c>
      <c r="G322" s="60">
        <f t="array" ref="G322">+INDEX('OUTCOME MODEL'!$O$10:$T$87,MATCH(Table1[[#This Row],[DRIVERS]]&amp;Table1[[#This Row],[DEMAND]],'OUTCOME MODEL'!$A$10:$A$87&amp;'OUTCOME MODEL'!$B$10:$B$87,0),MATCH(Table1[[#This Row],[CAPACITY]],'OUTCOME MODEL'!$O$9:$T$9))</f>
        <v>2.9472535170661818</v>
      </c>
    </row>
    <row r="323" spans="1:7" x14ac:dyDescent="0.35">
      <c r="A323" s="45">
        <v>1</v>
      </c>
      <c r="B323" s="22">
        <v>7</v>
      </c>
      <c r="C323">
        <v>3</v>
      </c>
      <c r="D323" s="46">
        <f t="array" ref="D323">+INDEX('OUTCOME MODEL'!$U$10:$Z$87,MATCH(Table1[[#This Row],[DRIVERS]]&amp;Table1[[#This Row],[DEMAND]],'OUTCOME MODEL'!$A$10:$A$87&amp;'OUTCOME MODEL'!$B$10:$B$87,0),MATCH(Table1[[#This Row],[CAPACITY]],'OUTCOME MODEL'!$U$9:$Z$9))</f>
        <v>26.114823490220072</v>
      </c>
      <c r="E323" s="58">
        <f t="array" ref="E323">+INDEX('OUTCOME MODEL'!$C$10:$H$87,MATCH(Table1[[#This Row],[DRIVERS]]&amp;Table1[[#This Row],[DEMAND]],'OUTCOME MODEL'!$A$10:$A$87&amp;'OUTCOME MODEL'!$B$10:$B$87,0),MATCH(Table1[[#This Row],[CAPACITY]],'OUTCOME MODEL'!$C$9:$H$9))</f>
        <v>0.99485041867505042</v>
      </c>
      <c r="F323" s="58">
        <f t="array" ref="F323">+INDEX('OUTCOME MODEL'!$I$10:$N$87,MATCH(Table1[[#This Row],[DRIVERS]]&amp;Table1[[#This Row],[DEMAND]],'OUTCOME MODEL'!$A$10:$A$87&amp;'OUTCOME MODEL'!$B$10:$B$87,0),MATCH(Table1[[#This Row],[CAPACITY]],'OUTCOME MODEL'!$I$9:$N$9))</f>
        <v>0.32700000000000001</v>
      </c>
      <c r="G323" s="60">
        <f t="array" ref="G323">+INDEX('OUTCOME MODEL'!$O$10:$T$87,MATCH(Table1[[#This Row],[DRIVERS]]&amp;Table1[[#This Row],[DEMAND]],'OUTCOME MODEL'!$A$10:$A$87&amp;'OUTCOME MODEL'!$B$10:$B$87,0),MATCH(Table1[[#This Row],[CAPACITY]],'OUTCOME MODEL'!$O$9:$T$9))</f>
        <v>2.984551256025151</v>
      </c>
    </row>
    <row r="324" spans="1:7" x14ac:dyDescent="0.35">
      <c r="A324" s="45">
        <v>1</v>
      </c>
      <c r="B324" s="22">
        <v>8</v>
      </c>
      <c r="C324">
        <v>3</v>
      </c>
      <c r="D324" s="46">
        <f t="array" ref="D324">+INDEX('OUTCOME MODEL'!$U$10:$Z$87,MATCH(Table1[[#This Row],[DRIVERS]]&amp;Table1[[#This Row],[DEMAND]],'OUTCOME MODEL'!$A$10:$A$87&amp;'OUTCOME MODEL'!$B$10:$B$87,0),MATCH(Table1[[#This Row],[CAPACITY]],'OUTCOME MODEL'!$U$9:$Z$9))</f>
        <v>26.586471189042125</v>
      </c>
      <c r="E324" s="58">
        <f t="array" ref="E324">+INDEX('OUTCOME MODEL'!$C$10:$H$87,MATCH(Table1[[#This Row],[DRIVERS]]&amp;Table1[[#This Row],[DEMAND]],'OUTCOME MODEL'!$A$10:$A$87&amp;'OUTCOME MODEL'!$B$10:$B$87,0),MATCH(Table1[[#This Row],[CAPACITY]],'OUTCOME MODEL'!$C$9:$H$9))</f>
        <v>1.0128179500587478</v>
      </c>
      <c r="F324" s="58">
        <f t="array" ref="F324">+INDEX('OUTCOME MODEL'!$I$10:$N$87,MATCH(Table1[[#This Row],[DRIVERS]]&amp;Table1[[#This Row],[DEMAND]],'OUTCOME MODEL'!$A$10:$A$87&amp;'OUTCOME MODEL'!$B$10:$B$87,0),MATCH(Table1[[#This Row],[CAPACITY]],'OUTCOME MODEL'!$I$9:$N$9))</f>
        <v>0.25800000000000001</v>
      </c>
      <c r="G324" s="60">
        <f t="array" ref="G324">+INDEX('OUTCOME MODEL'!$O$10:$T$87,MATCH(Table1[[#This Row],[DRIVERS]]&amp;Table1[[#This Row],[DEMAND]],'OUTCOME MODEL'!$A$10:$A$87&amp;'OUTCOME MODEL'!$B$10:$B$87,0),MATCH(Table1[[#This Row],[CAPACITY]],'OUTCOME MODEL'!$O$9:$T$9))</f>
        <v>3.0384538501762433</v>
      </c>
    </row>
    <row r="325" spans="1:7" x14ac:dyDescent="0.35">
      <c r="A325" s="45">
        <v>1</v>
      </c>
      <c r="B325" s="22">
        <v>9</v>
      </c>
      <c r="C325">
        <v>3</v>
      </c>
      <c r="D325" s="46">
        <f t="array" ref="D325">+INDEX('OUTCOME MODEL'!$U$10:$Z$87,MATCH(Table1[[#This Row],[DRIVERS]]&amp;Table1[[#This Row],[DEMAND]],'OUTCOME MODEL'!$A$10:$A$87&amp;'OUTCOME MODEL'!$B$10:$B$87,0),MATCH(Table1[[#This Row],[CAPACITY]],'OUTCOME MODEL'!$U$9:$Z$9))</f>
        <v>26.725903205317191</v>
      </c>
      <c r="E325" s="58">
        <f t="array" ref="E325">+INDEX('OUTCOME MODEL'!$C$10:$H$87,MATCH(Table1[[#This Row],[DRIVERS]]&amp;Table1[[#This Row],[DEMAND]],'OUTCOME MODEL'!$A$10:$A$87&amp;'OUTCOME MODEL'!$B$10:$B$87,0),MATCH(Table1[[#This Row],[CAPACITY]],'OUTCOME MODEL'!$C$9:$H$9))</f>
        <v>1.0181296459168454</v>
      </c>
      <c r="F325" s="58">
        <f t="array" ref="F325">+INDEX('OUTCOME MODEL'!$I$10:$N$87,MATCH(Table1[[#This Row],[DRIVERS]]&amp;Table1[[#This Row],[DEMAND]],'OUTCOME MODEL'!$A$10:$A$87&amp;'OUTCOME MODEL'!$B$10:$B$87,0),MATCH(Table1[[#This Row],[CAPACITY]],'OUTCOME MODEL'!$I$9:$N$9))</f>
        <v>0.26200000000000001</v>
      </c>
      <c r="G325" s="60">
        <f t="array" ref="G325">+INDEX('OUTCOME MODEL'!$O$10:$T$87,MATCH(Table1[[#This Row],[DRIVERS]]&amp;Table1[[#This Row],[DEMAND]],'OUTCOME MODEL'!$A$10:$A$87&amp;'OUTCOME MODEL'!$B$10:$B$87,0),MATCH(Table1[[#This Row],[CAPACITY]],'OUTCOME MODEL'!$O$9:$T$9))</f>
        <v>3.0543889377505362</v>
      </c>
    </row>
    <row r="326" spans="1:7" x14ac:dyDescent="0.35">
      <c r="A326" s="45">
        <v>1</v>
      </c>
      <c r="B326" s="22">
        <v>10</v>
      </c>
      <c r="C326">
        <v>3</v>
      </c>
      <c r="D326" s="46">
        <f t="array" ref="D326">+INDEX('OUTCOME MODEL'!$U$10:$Z$87,MATCH(Table1[[#This Row],[DRIVERS]]&amp;Table1[[#This Row],[DEMAND]],'OUTCOME MODEL'!$A$10:$A$87&amp;'OUTCOME MODEL'!$B$10:$B$87,0),MATCH(Table1[[#This Row],[CAPACITY]],'OUTCOME MODEL'!$U$9:$Z$9))</f>
        <v>26.981922100137361</v>
      </c>
      <c r="E326" s="58">
        <f t="array" ref="E326">+INDEX('OUTCOME MODEL'!$C$10:$H$87,MATCH(Table1[[#This Row],[DRIVERS]]&amp;Table1[[#This Row],[DEMAND]],'OUTCOME MODEL'!$A$10:$A$87&amp;'OUTCOME MODEL'!$B$10:$B$87,0),MATCH(Table1[[#This Row],[CAPACITY]],'OUTCOME MODEL'!$C$9:$H$9))</f>
        <v>1.0278827466718994</v>
      </c>
      <c r="F326" s="58">
        <f t="array" ref="F326">+INDEX('OUTCOME MODEL'!$I$10:$N$87,MATCH(Table1[[#This Row],[DRIVERS]]&amp;Table1[[#This Row],[DEMAND]],'OUTCOME MODEL'!$A$10:$A$87&amp;'OUTCOME MODEL'!$B$10:$B$87,0),MATCH(Table1[[#This Row],[CAPACITY]],'OUTCOME MODEL'!$I$9:$N$9))</f>
        <v>0.23400000000000001</v>
      </c>
      <c r="G326" s="60">
        <f t="array" ref="G326">+INDEX('OUTCOME MODEL'!$O$10:$T$87,MATCH(Table1[[#This Row],[DRIVERS]]&amp;Table1[[#This Row],[DEMAND]],'OUTCOME MODEL'!$A$10:$A$87&amp;'OUTCOME MODEL'!$B$10:$B$87,0),MATCH(Table1[[#This Row],[CAPACITY]],'OUTCOME MODEL'!$O$9:$T$9))</f>
        <v>3.0836482400156981</v>
      </c>
    </row>
    <row r="327" spans="1:7" x14ac:dyDescent="0.35">
      <c r="A327" s="19">
        <v>1</v>
      </c>
      <c r="B327" s="20">
        <v>11</v>
      </c>
      <c r="C327">
        <v>3</v>
      </c>
      <c r="D327" s="46">
        <f t="array" ref="D327">+INDEX('OUTCOME MODEL'!$U$10:$Z$87,MATCH(Table1[[#This Row],[DRIVERS]]&amp;Table1[[#This Row],[DEMAND]],'OUTCOME MODEL'!$A$10:$A$87&amp;'OUTCOME MODEL'!$B$10:$B$87,0),MATCH(Table1[[#This Row],[CAPACITY]],'OUTCOME MODEL'!$U$9:$Z$9))</f>
        <v>27.269933918034209</v>
      </c>
      <c r="E327" s="58">
        <f t="array" ref="E327">+INDEX('OUTCOME MODEL'!$C$10:$H$87,MATCH(Table1[[#This Row],[DRIVERS]]&amp;Table1[[#This Row],[DEMAND]],'OUTCOME MODEL'!$A$10:$A$87&amp;'OUTCOME MODEL'!$B$10:$B$87,0),MATCH(Table1[[#This Row],[CAPACITY]],'OUTCOME MODEL'!$C$9:$H$9))</f>
        <v>1.0388546254489222</v>
      </c>
      <c r="F327" s="58">
        <f t="array" ref="F327">+INDEX('OUTCOME MODEL'!$I$10:$N$87,MATCH(Table1[[#This Row],[DRIVERS]]&amp;Table1[[#This Row],[DEMAND]],'OUTCOME MODEL'!$A$10:$A$87&amp;'OUTCOME MODEL'!$B$10:$B$87,0),MATCH(Table1[[#This Row],[CAPACITY]],'OUTCOME MODEL'!$I$9:$N$9))</f>
        <v>0.182</v>
      </c>
      <c r="G327" s="60">
        <f t="array" ref="G327">+INDEX('OUTCOME MODEL'!$O$10:$T$87,MATCH(Table1[[#This Row],[DRIVERS]]&amp;Table1[[#This Row],[DEMAND]],'OUTCOME MODEL'!$A$10:$A$87&amp;'OUTCOME MODEL'!$B$10:$B$87,0),MATCH(Table1[[#This Row],[CAPACITY]],'OUTCOME MODEL'!$O$9:$T$9))</f>
        <v>3.1165638763467665</v>
      </c>
    </row>
    <row r="328" spans="1:7" x14ac:dyDescent="0.35">
      <c r="A328" s="45">
        <v>1</v>
      </c>
      <c r="B328" s="22">
        <v>12</v>
      </c>
      <c r="C328">
        <v>3</v>
      </c>
      <c r="D328" s="46">
        <f t="array" ref="D328">+INDEX('OUTCOME MODEL'!$U$10:$Z$87,MATCH(Table1[[#This Row],[DRIVERS]]&amp;Table1[[#This Row],[DEMAND]],'OUTCOME MODEL'!$A$10:$A$87&amp;'OUTCOME MODEL'!$B$10:$B$87,0),MATCH(Table1[[#This Row],[CAPACITY]],'OUTCOME MODEL'!$U$9:$Z$9))</f>
        <v>27.486117410108378</v>
      </c>
      <c r="E328" s="58">
        <f t="array" ref="E328">+INDEX('OUTCOME MODEL'!$C$10:$H$87,MATCH(Table1[[#This Row],[DRIVERS]]&amp;Table1[[#This Row],[DEMAND]],'OUTCOME MODEL'!$A$10:$A$87&amp;'OUTCOME MODEL'!$B$10:$B$87,0),MATCH(Table1[[#This Row],[CAPACITY]],'OUTCOME MODEL'!$C$9:$H$9))</f>
        <v>1.0470901870517477</v>
      </c>
      <c r="F328" s="58">
        <f t="array" ref="F328">+INDEX('OUTCOME MODEL'!$I$10:$N$87,MATCH(Table1[[#This Row],[DRIVERS]]&amp;Table1[[#This Row],[DEMAND]],'OUTCOME MODEL'!$A$10:$A$87&amp;'OUTCOME MODEL'!$B$10:$B$87,0),MATCH(Table1[[#This Row],[CAPACITY]],'OUTCOME MODEL'!$I$9:$N$9))</f>
        <v>0.18099999999999999</v>
      </c>
      <c r="G328" s="60">
        <f t="array" ref="G328">+INDEX('OUTCOME MODEL'!$O$10:$T$87,MATCH(Table1[[#This Row],[DRIVERS]]&amp;Table1[[#This Row],[DEMAND]],'OUTCOME MODEL'!$A$10:$A$87&amp;'OUTCOME MODEL'!$B$10:$B$87,0),MATCH(Table1[[#This Row],[CAPACITY]],'OUTCOME MODEL'!$O$9:$T$9))</f>
        <v>3.1412705611552432</v>
      </c>
    </row>
    <row r="329" spans="1:7" x14ac:dyDescent="0.35">
      <c r="A329" s="48">
        <v>2</v>
      </c>
      <c r="B329" s="49">
        <v>0</v>
      </c>
      <c r="C329">
        <v>3</v>
      </c>
      <c r="D329" s="46">
        <f t="array" ref="D329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29" s="58">
        <f t="array" ref="E329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29" s="58">
        <f t="array" ref="F32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29" s="60">
        <f t="array" ref="G329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30" spans="1:7" x14ac:dyDescent="0.35">
      <c r="A330" s="45">
        <v>2</v>
      </c>
      <c r="B330" s="22">
        <v>1</v>
      </c>
      <c r="C330">
        <v>3</v>
      </c>
      <c r="D330" s="46">
        <f t="array" ref="D330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30" s="58">
        <f t="array" ref="E330">+INDEX('OUTCOME MODEL'!$C$10:$H$87,MATCH(Table1[[#This Row],[DRIVERS]]&amp;Table1[[#This Row],[DEMAND]],'OUTCOME MODEL'!$A$10:$A$87&amp;'OUTCOME MODEL'!$B$10:$B$87,0),MATCH(Table1[[#This Row],[CAPACITY]],'OUTCOME MODEL'!$C$9:$H$9))</f>
        <v>0.22589891914776733</v>
      </c>
      <c r="F330" s="58">
        <f t="array" ref="F330">+INDEX('OUTCOME MODEL'!$I$10:$N$87,MATCH(Table1[[#This Row],[DRIVERS]]&amp;Table1[[#This Row],[DEMAND]],'OUTCOME MODEL'!$A$10:$A$87&amp;'OUTCOME MODEL'!$B$10:$B$87,0),MATCH(Table1[[#This Row],[CAPACITY]],'OUTCOME MODEL'!$I$9:$N$9))</f>
        <v>0.99099999999999999</v>
      </c>
      <c r="G330" s="60">
        <f t="array" ref="G330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331" spans="1:7" x14ac:dyDescent="0.35">
      <c r="A331" s="45">
        <v>2</v>
      </c>
      <c r="B331" s="22">
        <v>2</v>
      </c>
      <c r="C331">
        <v>3</v>
      </c>
      <c r="D331" s="46">
        <f t="array" ref="D331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31" s="58">
        <f t="array" ref="E331">+INDEX('OUTCOME MODEL'!$C$10:$H$87,MATCH(Table1[[#This Row],[DRIVERS]]&amp;Table1[[#This Row],[DEMAND]],'OUTCOME MODEL'!$A$10:$A$87&amp;'OUTCOME MODEL'!$B$10:$B$87,0),MATCH(Table1[[#This Row],[CAPACITY]],'OUTCOME MODEL'!$C$9:$H$9))</f>
        <v>0.43492357173872132</v>
      </c>
      <c r="F331" s="58">
        <f t="array" ref="F331">+INDEX('OUTCOME MODEL'!$I$10:$N$87,MATCH(Table1[[#This Row],[DRIVERS]]&amp;Table1[[#This Row],[DEMAND]],'OUTCOME MODEL'!$A$10:$A$87&amp;'OUTCOME MODEL'!$B$10:$B$87,0),MATCH(Table1[[#This Row],[CAPACITY]],'OUTCOME MODEL'!$I$9:$N$9))</f>
        <v>0.96</v>
      </c>
      <c r="G331" s="60">
        <f t="array" ref="G33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32" spans="1:7" x14ac:dyDescent="0.35">
      <c r="A332" s="45">
        <v>2</v>
      </c>
      <c r="B332" s="22">
        <v>3</v>
      </c>
      <c r="C332">
        <v>3</v>
      </c>
      <c r="D332" s="46">
        <f t="array" ref="D332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32" s="58">
        <f t="array" ref="E332">+INDEX('OUTCOME MODEL'!$C$10:$H$87,MATCH(Table1[[#This Row],[DRIVERS]]&amp;Table1[[#This Row],[DEMAND]],'OUTCOME MODEL'!$A$10:$A$87&amp;'OUTCOME MODEL'!$B$10:$B$87,0),MATCH(Table1[[#This Row],[CAPACITY]],'OUTCOME MODEL'!$C$9:$H$9))</f>
        <v>0.6135665872988314</v>
      </c>
      <c r="F332" s="58">
        <f t="array" ref="F332">+INDEX('OUTCOME MODEL'!$I$10:$N$87,MATCH(Table1[[#This Row],[DRIVERS]]&amp;Table1[[#This Row],[DEMAND]],'OUTCOME MODEL'!$A$10:$A$87&amp;'OUTCOME MODEL'!$B$10:$B$87,0),MATCH(Table1[[#This Row],[CAPACITY]],'OUTCOME MODEL'!$I$9:$N$9))</f>
        <v>0.92800000000000005</v>
      </c>
      <c r="G332" s="60">
        <f t="array" ref="G332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333" spans="1:7" x14ac:dyDescent="0.35">
      <c r="A333" s="45">
        <v>2</v>
      </c>
      <c r="B333" s="22">
        <v>4</v>
      </c>
      <c r="C333">
        <v>3</v>
      </c>
      <c r="D333" s="46">
        <f t="array" ref="D333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33" s="58">
        <f t="array" ref="E333">+INDEX('OUTCOME MODEL'!$C$10:$H$87,MATCH(Table1[[#This Row],[DRIVERS]]&amp;Table1[[#This Row],[DEMAND]],'OUTCOME MODEL'!$A$10:$A$87&amp;'OUTCOME MODEL'!$B$10:$B$87,0),MATCH(Table1[[#This Row],[CAPACITY]],'OUTCOME MODEL'!$C$9:$H$9))</f>
        <v>0.75171593443941254</v>
      </c>
      <c r="F333" s="58">
        <f t="array" ref="F333">+INDEX('OUTCOME MODEL'!$I$10:$N$87,MATCH(Table1[[#This Row],[DRIVERS]]&amp;Table1[[#This Row],[DEMAND]],'OUTCOME MODEL'!$A$10:$A$87&amp;'OUTCOME MODEL'!$B$10:$B$87,0),MATCH(Table1[[#This Row],[CAPACITY]],'OUTCOME MODEL'!$I$9:$N$9))</f>
        <v>0.85699999999999998</v>
      </c>
      <c r="G333" s="60">
        <f t="array" ref="G333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34" spans="1:7" x14ac:dyDescent="0.35">
      <c r="A334" s="45">
        <v>2</v>
      </c>
      <c r="B334" s="22">
        <v>5</v>
      </c>
      <c r="C334">
        <v>3</v>
      </c>
      <c r="D334" s="46">
        <f t="array" ref="D334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34" s="58">
        <f t="array" ref="E334">+INDEX('OUTCOME MODEL'!$C$10:$H$87,MATCH(Table1[[#This Row],[DRIVERS]]&amp;Table1[[#This Row],[DEMAND]],'OUTCOME MODEL'!$A$10:$A$87&amp;'OUTCOME MODEL'!$B$10:$B$87,0),MATCH(Table1[[#This Row],[CAPACITY]],'OUTCOME MODEL'!$C$9:$H$9))</f>
        <v>0.84380840133362223</v>
      </c>
      <c r="F334" s="58">
        <f t="array" ref="F334">+INDEX('OUTCOME MODEL'!$I$10:$N$87,MATCH(Table1[[#This Row],[DRIVERS]]&amp;Table1[[#This Row],[DEMAND]],'OUTCOME MODEL'!$A$10:$A$87&amp;'OUTCOME MODEL'!$B$10:$B$87,0),MATCH(Table1[[#This Row],[CAPACITY]],'OUTCOME MODEL'!$I$9:$N$9))</f>
        <v>0.79700000000000004</v>
      </c>
      <c r="G334" s="60">
        <f t="array" ref="G334">+INDEX('OUTCOME MODEL'!$O$10:$T$87,MATCH(Table1[[#This Row],[DRIVERS]]&amp;Table1[[#This Row],[DEMAND]],'OUTCOME MODEL'!$A$10:$A$87&amp;'OUTCOME MODEL'!$B$10:$B$87,0),MATCH(Table1[[#This Row],[CAPACITY]],'OUTCOME MODEL'!$O$9:$T$9))</f>
        <v>2.5</v>
      </c>
    </row>
    <row r="335" spans="1:7" x14ac:dyDescent="0.35">
      <c r="A335" s="45">
        <v>2</v>
      </c>
      <c r="B335" s="22">
        <v>6</v>
      </c>
      <c r="C335">
        <v>3</v>
      </c>
      <c r="D335" s="46">
        <f t="array" ref="D335">+INDEX('OUTCOME MODEL'!$U$10:$Z$87,MATCH(Table1[[#This Row],[DRIVERS]]&amp;Table1[[#This Row],[DEMAND]],'OUTCOME MODEL'!$A$10:$A$87&amp;'OUTCOME MODEL'!$B$10:$B$87,0),MATCH(Table1[[#This Row],[CAPACITY]],'OUTCOME MODEL'!$U$9:$Z$9))</f>
        <v>48.466369530769128</v>
      </c>
      <c r="E335" s="58">
        <f t="array" ref="E335">+INDEX('OUTCOME MODEL'!$C$10:$H$87,MATCH(Table1[[#This Row],[DRIVERS]]&amp;Table1[[#This Row],[DEMAND]],'OUTCOME MODEL'!$A$10:$A$87&amp;'OUTCOME MODEL'!$B$10:$B$87,0),MATCH(Table1[[#This Row],[CAPACITY]],'OUTCOME MODEL'!$C$9:$H$9))</f>
        <v>0.92316894344322153</v>
      </c>
      <c r="F335" s="58">
        <f t="array" ref="F335">+INDEX('OUTCOME MODEL'!$I$10:$N$87,MATCH(Table1[[#This Row],[DRIVERS]]&amp;Table1[[#This Row],[DEMAND]],'OUTCOME MODEL'!$A$10:$A$87&amp;'OUTCOME MODEL'!$B$10:$B$87,0),MATCH(Table1[[#This Row],[CAPACITY]],'OUTCOME MODEL'!$I$9:$N$9))</f>
        <v>0.71399999999999997</v>
      </c>
      <c r="G335" s="60">
        <f t="array" ref="G335">+INDEX('OUTCOME MODEL'!$O$10:$T$87,MATCH(Table1[[#This Row],[DRIVERS]]&amp;Table1[[#This Row],[DEMAND]],'OUTCOME MODEL'!$A$10:$A$87&amp;'OUTCOME MODEL'!$B$10:$B$87,0),MATCH(Table1[[#This Row],[CAPACITY]],'OUTCOME MODEL'!$O$9:$T$9))</f>
        <v>2.7695068303296644</v>
      </c>
    </row>
    <row r="336" spans="1:7" x14ac:dyDescent="0.35">
      <c r="A336" s="45">
        <v>2</v>
      </c>
      <c r="B336" s="22">
        <v>7</v>
      </c>
      <c r="C336">
        <v>3</v>
      </c>
      <c r="D336" s="46">
        <f t="array" ref="D336">+INDEX('OUTCOME MODEL'!$U$10:$Z$87,MATCH(Table1[[#This Row],[DRIVERS]]&amp;Table1[[#This Row],[DEMAND]],'OUTCOME MODEL'!$A$10:$A$87&amp;'OUTCOME MODEL'!$B$10:$B$87,0),MATCH(Table1[[#This Row],[CAPACITY]],'OUTCOME MODEL'!$U$9:$Z$9))</f>
        <v>51.128391462482497</v>
      </c>
      <c r="E336" s="58">
        <f t="array" ref="E336">+INDEX('OUTCOME MODEL'!$C$10:$H$87,MATCH(Table1[[#This Row],[DRIVERS]]&amp;Table1[[#This Row],[DEMAND]],'OUTCOME MODEL'!$A$10:$A$87&amp;'OUTCOME MODEL'!$B$10:$B$87,0),MATCH(Table1[[#This Row],[CAPACITY]],'OUTCOME MODEL'!$C$9:$H$9))</f>
        <v>0.97387412309490484</v>
      </c>
      <c r="F336" s="58">
        <f t="array" ref="F336">+INDEX('OUTCOME MODEL'!$I$10:$N$87,MATCH(Table1[[#This Row],[DRIVERS]]&amp;Table1[[#This Row],[DEMAND]],'OUTCOME MODEL'!$A$10:$A$87&amp;'OUTCOME MODEL'!$B$10:$B$87,0),MATCH(Table1[[#This Row],[CAPACITY]],'OUTCOME MODEL'!$I$9:$N$9))</f>
        <v>0.61699999999999999</v>
      </c>
      <c r="G336" s="60">
        <f t="array" ref="G336">+INDEX('OUTCOME MODEL'!$O$10:$T$87,MATCH(Table1[[#This Row],[DRIVERS]]&amp;Table1[[#This Row],[DEMAND]],'OUTCOME MODEL'!$A$10:$A$87&amp;'OUTCOME MODEL'!$B$10:$B$87,0),MATCH(Table1[[#This Row],[CAPACITY]],'OUTCOME MODEL'!$O$9:$T$9))</f>
        <v>2.9216223692847145</v>
      </c>
    </row>
    <row r="337" spans="1:7" x14ac:dyDescent="0.35">
      <c r="A337" s="45">
        <v>2</v>
      </c>
      <c r="B337" s="22">
        <v>8</v>
      </c>
      <c r="C337">
        <v>3</v>
      </c>
      <c r="D337" s="46">
        <f t="array" ref="D337">+INDEX('OUTCOME MODEL'!$U$10:$Z$87,MATCH(Table1[[#This Row],[DRIVERS]]&amp;Table1[[#This Row],[DEMAND]],'OUTCOME MODEL'!$A$10:$A$87&amp;'OUTCOME MODEL'!$B$10:$B$87,0),MATCH(Table1[[#This Row],[CAPACITY]],'OUTCOME MODEL'!$U$9:$Z$9))</f>
        <v>52.905505878976356</v>
      </c>
      <c r="E337" s="58">
        <f t="array" ref="E337">+INDEX('OUTCOME MODEL'!$C$10:$H$87,MATCH(Table1[[#This Row],[DRIVERS]]&amp;Table1[[#This Row],[DEMAND]],'OUTCOME MODEL'!$A$10:$A$87&amp;'OUTCOME MODEL'!$B$10:$B$87,0),MATCH(Table1[[#This Row],[CAPACITY]],'OUTCOME MODEL'!$C$9:$H$9))</f>
        <v>1.0077239215043114</v>
      </c>
      <c r="F337" s="58">
        <f t="array" ref="F337">+INDEX('OUTCOME MODEL'!$I$10:$N$87,MATCH(Table1[[#This Row],[DRIVERS]]&amp;Table1[[#This Row],[DEMAND]],'OUTCOME MODEL'!$A$10:$A$87&amp;'OUTCOME MODEL'!$B$10:$B$87,0),MATCH(Table1[[#This Row],[CAPACITY]],'OUTCOME MODEL'!$I$9:$N$9))</f>
        <v>0.59699999999999998</v>
      </c>
      <c r="G337" s="60">
        <f t="array" ref="G337">+INDEX('OUTCOME MODEL'!$O$10:$T$87,MATCH(Table1[[#This Row],[DRIVERS]]&amp;Table1[[#This Row],[DEMAND]],'OUTCOME MODEL'!$A$10:$A$87&amp;'OUTCOME MODEL'!$B$10:$B$87,0),MATCH(Table1[[#This Row],[CAPACITY]],'OUTCOME MODEL'!$O$9:$T$9))</f>
        <v>3.0231717645129343</v>
      </c>
    </row>
    <row r="338" spans="1:7" x14ac:dyDescent="0.35">
      <c r="A338" s="45">
        <v>2</v>
      </c>
      <c r="B338" s="22">
        <v>9</v>
      </c>
      <c r="C338">
        <v>3</v>
      </c>
      <c r="D338" s="46">
        <f t="array" ref="D338">+INDEX('OUTCOME MODEL'!$U$10:$Z$87,MATCH(Table1[[#This Row],[DRIVERS]]&amp;Table1[[#This Row],[DEMAND]],'OUTCOME MODEL'!$A$10:$A$87&amp;'OUTCOME MODEL'!$B$10:$B$87,0),MATCH(Table1[[#This Row],[CAPACITY]],'OUTCOME MODEL'!$U$9:$Z$9))</f>
        <v>54.468681095616361</v>
      </c>
      <c r="E338" s="58">
        <f t="array" ref="E338">+INDEX('OUTCOME MODEL'!$C$10:$H$87,MATCH(Table1[[#This Row],[DRIVERS]]&amp;Table1[[#This Row],[DEMAND]],'OUTCOME MODEL'!$A$10:$A$87&amp;'OUTCOME MODEL'!$B$10:$B$87,0),MATCH(Table1[[#This Row],[CAPACITY]],'OUTCOME MODEL'!$C$9:$H$9))</f>
        <v>1.0374986875355499</v>
      </c>
      <c r="F338" s="58">
        <f t="array" ref="F338">+INDEX('OUTCOME MODEL'!$I$10:$N$87,MATCH(Table1[[#This Row],[DRIVERS]]&amp;Table1[[#This Row],[DEMAND]],'OUTCOME MODEL'!$A$10:$A$87&amp;'OUTCOME MODEL'!$B$10:$B$87,0),MATCH(Table1[[#This Row],[CAPACITY]],'OUTCOME MODEL'!$I$9:$N$9))</f>
        <v>0.52500000000000002</v>
      </c>
      <c r="G338" s="60">
        <f t="array" ref="G338">+INDEX('OUTCOME MODEL'!$O$10:$T$87,MATCH(Table1[[#This Row],[DRIVERS]]&amp;Table1[[#This Row],[DEMAND]],'OUTCOME MODEL'!$A$10:$A$87&amp;'OUTCOME MODEL'!$B$10:$B$87,0),MATCH(Table1[[#This Row],[CAPACITY]],'OUTCOME MODEL'!$O$9:$T$9))</f>
        <v>3.1124960626066498</v>
      </c>
    </row>
    <row r="339" spans="1:7" x14ac:dyDescent="0.35">
      <c r="A339" s="19">
        <v>2</v>
      </c>
      <c r="B339" s="20">
        <v>10</v>
      </c>
      <c r="C339">
        <v>3</v>
      </c>
      <c r="D339" s="46">
        <f t="array" ref="D339">+INDEX('OUTCOME MODEL'!$U$10:$Z$87,MATCH(Table1[[#This Row],[DRIVERS]]&amp;Table1[[#This Row],[DEMAND]],'OUTCOME MODEL'!$A$10:$A$87&amp;'OUTCOME MODEL'!$B$10:$B$87,0),MATCH(Table1[[#This Row],[CAPACITY]],'OUTCOME MODEL'!$U$9:$Z$9))</f>
        <v>55.599593659965933</v>
      </c>
      <c r="E339" s="58">
        <f t="array" ref="E339">+INDEX('OUTCOME MODEL'!$C$10:$H$87,MATCH(Table1[[#This Row],[DRIVERS]]&amp;Table1[[#This Row],[DEMAND]],'OUTCOME MODEL'!$A$10:$A$87&amp;'OUTCOME MODEL'!$B$10:$B$87,0),MATCH(Table1[[#This Row],[CAPACITY]],'OUTCOME MODEL'!$C$9:$H$9))</f>
        <v>1.0590398792374462</v>
      </c>
      <c r="F339" s="58">
        <f t="array" ref="F339">+INDEX('OUTCOME MODEL'!$I$10:$N$87,MATCH(Table1[[#This Row],[DRIVERS]]&amp;Table1[[#This Row],[DEMAND]],'OUTCOME MODEL'!$A$10:$A$87&amp;'OUTCOME MODEL'!$B$10:$B$87,0),MATCH(Table1[[#This Row],[CAPACITY]],'OUTCOME MODEL'!$I$9:$N$9))</f>
        <v>0.50600000000000001</v>
      </c>
      <c r="G339" s="60">
        <f t="array" ref="G339">+INDEX('OUTCOME MODEL'!$O$10:$T$87,MATCH(Table1[[#This Row],[DRIVERS]]&amp;Table1[[#This Row],[DEMAND]],'OUTCOME MODEL'!$A$10:$A$87&amp;'OUTCOME MODEL'!$B$10:$B$87,0),MATCH(Table1[[#This Row],[CAPACITY]],'OUTCOME MODEL'!$O$9:$T$9))</f>
        <v>3.1771196377123387</v>
      </c>
    </row>
    <row r="340" spans="1:7" x14ac:dyDescent="0.35">
      <c r="A340" s="45">
        <v>2</v>
      </c>
      <c r="B340" s="22">
        <v>11</v>
      </c>
      <c r="C340">
        <v>3</v>
      </c>
      <c r="D340" s="46">
        <f t="array" ref="D340">+INDEX('OUTCOME MODEL'!$U$10:$Z$87,MATCH(Table1[[#This Row],[DRIVERS]]&amp;Table1[[#This Row],[DEMAND]],'OUTCOME MODEL'!$A$10:$A$87&amp;'OUTCOME MODEL'!$B$10:$B$87,0),MATCH(Table1[[#This Row],[CAPACITY]],'OUTCOME MODEL'!$U$9:$Z$9))</f>
        <v>56.657948156034976</v>
      </c>
      <c r="E340" s="58">
        <f t="array" ref="E340">+INDEX('OUTCOME MODEL'!$C$10:$H$87,MATCH(Table1[[#This Row],[DRIVERS]]&amp;Table1[[#This Row],[DEMAND]],'OUTCOME MODEL'!$A$10:$A$87&amp;'OUTCOME MODEL'!$B$10:$B$87,0),MATCH(Table1[[#This Row],[CAPACITY]],'OUTCOME MODEL'!$C$9:$H$9))</f>
        <v>1.0791990124959041</v>
      </c>
      <c r="F340" s="58">
        <f t="array" ref="F340">+INDEX('OUTCOME MODEL'!$I$10:$N$87,MATCH(Table1[[#This Row],[DRIVERS]]&amp;Table1[[#This Row],[DEMAND]],'OUTCOME MODEL'!$A$10:$A$87&amp;'OUTCOME MODEL'!$B$10:$B$87,0),MATCH(Table1[[#This Row],[CAPACITY]],'OUTCOME MODEL'!$I$9:$N$9))</f>
        <v>0.45500000000000002</v>
      </c>
      <c r="G340" s="60">
        <f t="array" ref="G340">+INDEX('OUTCOME MODEL'!$O$10:$T$87,MATCH(Table1[[#This Row],[DRIVERS]]&amp;Table1[[#This Row],[DEMAND]],'OUTCOME MODEL'!$A$10:$A$87&amp;'OUTCOME MODEL'!$B$10:$B$87,0),MATCH(Table1[[#This Row],[CAPACITY]],'OUTCOME MODEL'!$O$9:$T$9))</f>
        <v>3.2375970374877125</v>
      </c>
    </row>
    <row r="341" spans="1:7" x14ac:dyDescent="0.35">
      <c r="A341" s="45">
        <v>2</v>
      </c>
      <c r="B341" s="22">
        <v>12</v>
      </c>
      <c r="C341">
        <v>3</v>
      </c>
      <c r="D341" s="46">
        <f t="array" ref="D341">+INDEX('OUTCOME MODEL'!$U$10:$Z$87,MATCH(Table1[[#This Row],[DRIVERS]]&amp;Table1[[#This Row],[DEMAND]],'OUTCOME MODEL'!$A$10:$A$87&amp;'OUTCOME MODEL'!$B$10:$B$87,0),MATCH(Table1[[#This Row],[CAPACITY]],'OUTCOME MODEL'!$U$9:$Z$9))</f>
        <v>57.254524363944192</v>
      </c>
      <c r="E341" s="58">
        <f t="array" ref="E341">+INDEX('OUTCOME MODEL'!$C$10:$H$87,MATCH(Table1[[#This Row],[DRIVERS]]&amp;Table1[[#This Row],[DEMAND]],'OUTCOME MODEL'!$A$10:$A$87&amp;'OUTCOME MODEL'!$B$10:$B$87,0),MATCH(Table1[[#This Row],[CAPACITY]],'OUTCOME MODEL'!$C$9:$H$9))</f>
        <v>1.0905623688370323</v>
      </c>
      <c r="F341" s="58">
        <f t="array" ref="F341">+INDEX('OUTCOME MODEL'!$I$10:$N$87,MATCH(Table1[[#This Row],[DRIVERS]]&amp;Table1[[#This Row],[DEMAND]],'OUTCOME MODEL'!$A$10:$A$87&amp;'OUTCOME MODEL'!$B$10:$B$87,0),MATCH(Table1[[#This Row],[CAPACITY]],'OUTCOME MODEL'!$I$9:$N$9))</f>
        <v>0.42199999999999999</v>
      </c>
      <c r="G341" s="60">
        <f t="array" ref="G341">+INDEX('OUTCOME MODEL'!$O$10:$T$87,MATCH(Table1[[#This Row],[DRIVERS]]&amp;Table1[[#This Row],[DEMAND]],'OUTCOME MODEL'!$A$10:$A$87&amp;'OUTCOME MODEL'!$B$10:$B$87,0),MATCH(Table1[[#This Row],[CAPACITY]],'OUTCOME MODEL'!$O$9:$T$9))</f>
        <v>3.2716871065110968</v>
      </c>
    </row>
    <row r="342" spans="1:7" x14ac:dyDescent="0.35">
      <c r="A342" s="48">
        <v>3</v>
      </c>
      <c r="B342" s="49">
        <v>0</v>
      </c>
      <c r="C342">
        <v>3</v>
      </c>
      <c r="D342" s="46">
        <f t="array" ref="D342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42" s="58">
        <f t="array" ref="E342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42" s="58">
        <f t="array" ref="F342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42" s="60">
        <f t="array" ref="G342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43" spans="1:7" x14ac:dyDescent="0.35">
      <c r="A343" s="45">
        <v>3</v>
      </c>
      <c r="B343" s="22">
        <v>1</v>
      </c>
      <c r="C343">
        <v>3</v>
      </c>
      <c r="D343" s="46">
        <f t="array" ref="D343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43" s="58">
        <f t="array" ref="E343">+INDEX('OUTCOME MODEL'!$C$10:$H$87,MATCH(Table1[[#This Row],[DRIVERS]]&amp;Table1[[#This Row],[DEMAND]],'OUTCOME MODEL'!$A$10:$A$87&amp;'OUTCOME MODEL'!$B$10:$B$87,0),MATCH(Table1[[#This Row],[CAPACITY]],'OUTCOME MODEL'!$C$9:$H$9))</f>
        <v>0.15399594201924333</v>
      </c>
      <c r="F343" s="58">
        <f t="array" ref="F343">+INDEX('OUTCOME MODEL'!$I$10:$N$87,MATCH(Table1[[#This Row],[DRIVERS]]&amp;Table1[[#This Row],[DEMAND]],'OUTCOME MODEL'!$A$10:$A$87&amp;'OUTCOME MODEL'!$B$10:$B$87,0),MATCH(Table1[[#This Row],[CAPACITY]],'OUTCOME MODEL'!$I$9:$N$9))</f>
        <v>0.99</v>
      </c>
      <c r="G343" s="60">
        <f t="array" ref="G343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344" spans="1:7" x14ac:dyDescent="0.35">
      <c r="A344" s="45">
        <v>3</v>
      </c>
      <c r="B344" s="22">
        <v>2</v>
      </c>
      <c r="C344">
        <v>3</v>
      </c>
      <c r="D344" s="46">
        <f t="array" ref="D344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44" s="58">
        <f t="array" ref="E344">+INDEX('OUTCOME MODEL'!$C$10:$H$87,MATCH(Table1[[#This Row],[DRIVERS]]&amp;Table1[[#This Row],[DEMAND]],'OUTCOME MODEL'!$A$10:$A$87&amp;'OUTCOME MODEL'!$B$10:$B$87,0),MATCH(Table1[[#This Row],[CAPACITY]],'OUTCOME MODEL'!$C$9:$H$9))</f>
        <v>0.29899089299762477</v>
      </c>
      <c r="F344" s="58">
        <f t="array" ref="F344">+INDEX('OUTCOME MODEL'!$I$10:$N$87,MATCH(Table1[[#This Row],[DRIVERS]]&amp;Table1[[#This Row],[DEMAND]],'OUTCOME MODEL'!$A$10:$A$87&amp;'OUTCOME MODEL'!$B$10:$B$87,0),MATCH(Table1[[#This Row],[CAPACITY]],'OUTCOME MODEL'!$I$9:$N$9))</f>
        <v>0.98799999999999999</v>
      </c>
      <c r="G344" s="60">
        <f t="array" ref="G344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345" spans="1:7" x14ac:dyDescent="0.35">
      <c r="A345" s="45">
        <v>3</v>
      </c>
      <c r="B345" s="22">
        <v>3</v>
      </c>
      <c r="C345">
        <v>3</v>
      </c>
      <c r="D345" s="46">
        <f t="array" ref="D345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45" s="58">
        <f t="array" ref="E345">+INDEX('OUTCOME MODEL'!$C$10:$H$87,MATCH(Table1[[#This Row],[DRIVERS]]&amp;Table1[[#This Row],[DEMAND]],'OUTCOME MODEL'!$A$10:$A$87&amp;'OUTCOME MODEL'!$B$10:$B$87,0),MATCH(Table1[[#This Row],[CAPACITY]],'OUTCOME MODEL'!$C$9:$H$9))</f>
        <v>0.44351888756854657</v>
      </c>
      <c r="F345" s="58">
        <f t="array" ref="F345">+INDEX('OUTCOME MODEL'!$I$10:$N$87,MATCH(Table1[[#This Row],[DRIVERS]]&amp;Table1[[#This Row],[DEMAND]],'OUTCOME MODEL'!$A$10:$A$87&amp;'OUTCOME MODEL'!$B$10:$B$87,0),MATCH(Table1[[#This Row],[CAPACITY]],'OUTCOME MODEL'!$I$9:$N$9))</f>
        <v>0.97699999999999998</v>
      </c>
      <c r="G345" s="60">
        <f t="array" ref="G34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46" spans="1:7" x14ac:dyDescent="0.35">
      <c r="A346" s="45">
        <v>3</v>
      </c>
      <c r="B346" s="22">
        <v>4</v>
      </c>
      <c r="C346">
        <v>3</v>
      </c>
      <c r="D346" s="46">
        <f t="array" ref="D346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46" s="58">
        <f t="array" ref="E346">+INDEX('OUTCOME MODEL'!$C$10:$H$87,MATCH(Table1[[#This Row],[DRIVERS]]&amp;Table1[[#This Row],[DEMAND]],'OUTCOME MODEL'!$A$10:$A$87&amp;'OUTCOME MODEL'!$B$10:$B$87,0),MATCH(Table1[[#This Row],[CAPACITY]],'OUTCOME MODEL'!$C$9:$H$9))</f>
        <v>0.56855482413784797</v>
      </c>
      <c r="F346" s="58">
        <f t="array" ref="F346">+INDEX('OUTCOME MODEL'!$I$10:$N$87,MATCH(Table1[[#This Row],[DRIVERS]]&amp;Table1[[#This Row],[DEMAND]],'OUTCOME MODEL'!$A$10:$A$87&amp;'OUTCOME MODEL'!$B$10:$B$87,0),MATCH(Table1[[#This Row],[CAPACITY]],'OUTCOME MODEL'!$I$9:$N$9))</f>
        <v>0.96799999999999997</v>
      </c>
      <c r="G346" s="60">
        <f t="array" ref="G346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347" spans="1:7" x14ac:dyDescent="0.35">
      <c r="A347" s="45">
        <v>3</v>
      </c>
      <c r="B347" s="22">
        <v>5</v>
      </c>
      <c r="C347">
        <v>3</v>
      </c>
      <c r="D347" s="46">
        <f t="array" ref="D347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47" s="58">
        <f t="array" ref="E347">+INDEX('OUTCOME MODEL'!$C$10:$H$87,MATCH(Table1[[#This Row],[DRIVERS]]&amp;Table1[[#This Row],[DEMAND]],'OUTCOME MODEL'!$A$10:$A$87&amp;'OUTCOME MODEL'!$B$10:$B$87,0),MATCH(Table1[[#This Row],[CAPACITY]],'OUTCOME MODEL'!$C$9:$H$9))</f>
        <v>0.67984846670297028</v>
      </c>
      <c r="F347" s="58">
        <f t="array" ref="F347">+INDEX('OUTCOME MODEL'!$I$10:$N$87,MATCH(Table1[[#This Row],[DRIVERS]]&amp;Table1[[#This Row],[DEMAND]],'OUTCOME MODEL'!$A$10:$A$87&amp;'OUTCOME MODEL'!$B$10:$B$87,0),MATCH(Table1[[#This Row],[CAPACITY]],'OUTCOME MODEL'!$I$9:$N$9))</f>
        <v>0.93300000000000005</v>
      </c>
      <c r="G347" s="60">
        <f t="array" ref="G347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348" spans="1:7" x14ac:dyDescent="0.35">
      <c r="A348" s="45">
        <v>3</v>
      </c>
      <c r="B348" s="22">
        <v>6</v>
      </c>
      <c r="C348">
        <v>3</v>
      </c>
      <c r="D348" s="46">
        <f t="array" ref="D348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348" s="58">
        <f t="array" ref="E348">+INDEX('OUTCOME MODEL'!$C$10:$H$87,MATCH(Table1[[#This Row],[DRIVERS]]&amp;Table1[[#This Row],[DEMAND]],'OUTCOME MODEL'!$A$10:$A$87&amp;'OUTCOME MODEL'!$B$10:$B$87,0),MATCH(Table1[[#This Row],[CAPACITY]],'OUTCOME MODEL'!$C$9:$H$9))</f>
        <v>0.76680386034156567</v>
      </c>
      <c r="F348" s="58">
        <f t="array" ref="F348">+INDEX('OUTCOME MODEL'!$I$10:$N$87,MATCH(Table1[[#This Row],[DRIVERS]]&amp;Table1[[#This Row],[DEMAND]],'OUTCOME MODEL'!$A$10:$A$87&amp;'OUTCOME MODEL'!$B$10:$B$87,0),MATCH(Table1[[#This Row],[CAPACITY]],'OUTCOME MODEL'!$I$9:$N$9))</f>
        <v>0.90800000000000003</v>
      </c>
      <c r="G348" s="60">
        <f t="array" ref="G348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49" spans="1:7" x14ac:dyDescent="0.35">
      <c r="A349" s="45">
        <v>3</v>
      </c>
      <c r="B349" s="22">
        <v>7</v>
      </c>
      <c r="C349">
        <v>3</v>
      </c>
      <c r="D349" s="46">
        <f t="array" ref="D349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349" s="58">
        <f t="array" ref="E349">+INDEX('OUTCOME MODEL'!$C$10:$H$87,MATCH(Table1[[#This Row],[DRIVERS]]&amp;Table1[[#This Row],[DEMAND]],'OUTCOME MODEL'!$A$10:$A$87&amp;'OUTCOME MODEL'!$B$10:$B$87,0),MATCH(Table1[[#This Row],[CAPACITY]],'OUTCOME MODEL'!$C$9:$H$9))</f>
        <v>0.84029877111220197</v>
      </c>
      <c r="F349" s="58">
        <f t="array" ref="F349">+INDEX('OUTCOME MODEL'!$I$10:$N$87,MATCH(Table1[[#This Row],[DRIVERS]]&amp;Table1[[#This Row],[DEMAND]],'OUTCOME MODEL'!$A$10:$A$87&amp;'OUTCOME MODEL'!$B$10:$B$87,0),MATCH(Table1[[#This Row],[CAPACITY]],'OUTCOME MODEL'!$I$9:$N$9))</f>
        <v>0.86599999999999999</v>
      </c>
      <c r="G349" s="60">
        <f t="array" ref="G349">+INDEX('OUTCOME MODEL'!$O$10:$T$87,MATCH(Table1[[#This Row],[DRIVERS]]&amp;Table1[[#This Row],[DEMAND]],'OUTCOME MODEL'!$A$10:$A$87&amp;'OUTCOME MODEL'!$B$10:$B$87,0),MATCH(Table1[[#This Row],[CAPACITY]],'OUTCOME MODEL'!$O$9:$T$9))</f>
        <v>2.3333333333333335</v>
      </c>
    </row>
    <row r="350" spans="1:7" x14ac:dyDescent="0.35">
      <c r="A350" s="45">
        <v>3</v>
      </c>
      <c r="B350" s="22">
        <v>8</v>
      </c>
      <c r="C350">
        <v>3</v>
      </c>
      <c r="D350" s="46">
        <f t="array" ref="D350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350" s="58">
        <f t="array" ref="E350">+INDEX('OUTCOME MODEL'!$C$10:$H$87,MATCH(Table1[[#This Row],[DRIVERS]]&amp;Table1[[#This Row],[DEMAND]],'OUTCOME MODEL'!$A$10:$A$87&amp;'OUTCOME MODEL'!$B$10:$B$87,0),MATCH(Table1[[#This Row],[CAPACITY]],'OUTCOME MODEL'!$C$9:$H$9))</f>
        <v>0.89802936468955075</v>
      </c>
      <c r="F350" s="58">
        <f t="array" ref="F350">+INDEX('OUTCOME MODEL'!$I$10:$N$87,MATCH(Table1[[#This Row],[DRIVERS]]&amp;Table1[[#This Row],[DEMAND]],'OUTCOME MODEL'!$A$10:$A$87&amp;'OUTCOME MODEL'!$B$10:$B$87,0),MATCH(Table1[[#This Row],[CAPACITY]],'OUTCOME MODEL'!$I$9:$N$9))</f>
        <v>0.82</v>
      </c>
      <c r="G350" s="60">
        <f t="array" ref="G350">+INDEX('OUTCOME MODEL'!$O$10:$T$87,MATCH(Table1[[#This Row],[DRIVERS]]&amp;Table1[[#This Row],[DEMAND]],'OUTCOME MODEL'!$A$10:$A$87&amp;'OUTCOME MODEL'!$B$10:$B$87,0),MATCH(Table1[[#This Row],[CAPACITY]],'OUTCOME MODEL'!$O$9:$T$9))</f>
        <v>2.6666666666666665</v>
      </c>
    </row>
    <row r="351" spans="1:7" x14ac:dyDescent="0.35">
      <c r="A351" s="19">
        <v>3</v>
      </c>
      <c r="B351" s="20">
        <v>9</v>
      </c>
      <c r="C351">
        <v>3</v>
      </c>
      <c r="D351" s="46">
        <f t="array" ref="D351">+INDEX('OUTCOME MODEL'!$U$10:$Z$87,MATCH(Table1[[#This Row],[DRIVERS]]&amp;Table1[[#This Row],[DEMAND]],'OUTCOME MODEL'!$A$10:$A$87&amp;'OUTCOME MODEL'!$B$10:$B$87,0),MATCH(Table1[[#This Row],[CAPACITY]],'OUTCOME MODEL'!$U$9:$Z$9))</f>
        <v>74.006157022231307</v>
      </c>
      <c r="E351" s="58">
        <f t="array" ref="E351">+INDEX('OUTCOME MODEL'!$C$10:$H$87,MATCH(Table1[[#This Row],[DRIVERS]]&amp;Table1[[#This Row],[DEMAND]],'OUTCOME MODEL'!$A$10:$A$87&amp;'OUTCOME MODEL'!$B$10:$B$87,0),MATCH(Table1[[#This Row],[CAPACITY]],'OUTCOME MODEL'!$C$9:$H$9))</f>
        <v>0.93976072409182609</v>
      </c>
      <c r="F351" s="58">
        <f t="array" ref="F351">+INDEX('OUTCOME MODEL'!$I$10:$N$87,MATCH(Table1[[#This Row],[DRIVERS]]&amp;Table1[[#This Row],[DEMAND]],'OUTCOME MODEL'!$A$10:$A$87&amp;'OUTCOME MODEL'!$B$10:$B$87,0),MATCH(Table1[[#This Row],[CAPACITY]],'OUTCOME MODEL'!$I$9:$N$9))</f>
        <v>0.75600000000000001</v>
      </c>
      <c r="G351" s="60">
        <f t="array" ref="G351">+INDEX('OUTCOME MODEL'!$O$10:$T$87,MATCH(Table1[[#This Row],[DRIVERS]]&amp;Table1[[#This Row],[DEMAND]],'OUTCOME MODEL'!$A$10:$A$87&amp;'OUTCOME MODEL'!$B$10:$B$87,0),MATCH(Table1[[#This Row],[CAPACITY]],'OUTCOME MODEL'!$O$9:$T$9))</f>
        <v>2.8192821722754782</v>
      </c>
    </row>
    <row r="352" spans="1:7" x14ac:dyDescent="0.35">
      <c r="A352" s="45">
        <v>3</v>
      </c>
      <c r="B352" s="22">
        <v>10</v>
      </c>
      <c r="C352">
        <v>3</v>
      </c>
      <c r="D352" s="46">
        <f t="array" ref="D352">+INDEX('OUTCOME MODEL'!$U$10:$Z$87,MATCH(Table1[[#This Row],[DRIVERS]]&amp;Table1[[#This Row],[DEMAND]],'OUTCOME MODEL'!$A$10:$A$87&amp;'OUTCOME MODEL'!$B$10:$B$87,0),MATCH(Table1[[#This Row],[CAPACITY]],'OUTCOME MODEL'!$U$9:$Z$9))</f>
        <v>76.483671356461755</v>
      </c>
      <c r="E352" s="58">
        <f t="array" ref="E352">+INDEX('OUTCOME MODEL'!$C$10:$H$87,MATCH(Table1[[#This Row],[DRIVERS]]&amp;Table1[[#This Row],[DEMAND]],'OUTCOME MODEL'!$A$10:$A$87&amp;'OUTCOME MODEL'!$B$10:$B$87,0),MATCH(Table1[[#This Row],[CAPACITY]],'OUTCOME MODEL'!$C$9:$H$9))</f>
        <v>0.97122122357411778</v>
      </c>
      <c r="F352" s="58">
        <f t="array" ref="F352">+INDEX('OUTCOME MODEL'!$I$10:$N$87,MATCH(Table1[[#This Row],[DRIVERS]]&amp;Table1[[#This Row],[DEMAND]],'OUTCOME MODEL'!$A$10:$A$87&amp;'OUTCOME MODEL'!$B$10:$B$87,0),MATCH(Table1[[#This Row],[CAPACITY]],'OUTCOME MODEL'!$I$9:$N$9))</f>
        <v>0.71299999999999997</v>
      </c>
      <c r="G352" s="60">
        <f t="array" ref="G352">+INDEX('OUTCOME MODEL'!$O$10:$T$87,MATCH(Table1[[#This Row],[DRIVERS]]&amp;Table1[[#This Row],[DEMAND]],'OUTCOME MODEL'!$A$10:$A$87&amp;'OUTCOME MODEL'!$B$10:$B$87,0),MATCH(Table1[[#This Row],[CAPACITY]],'OUTCOME MODEL'!$O$9:$T$9))</f>
        <v>2.9136636707223533</v>
      </c>
    </row>
    <row r="353" spans="1:7" x14ac:dyDescent="0.35">
      <c r="A353" s="45">
        <v>3</v>
      </c>
      <c r="B353" s="22">
        <v>11</v>
      </c>
      <c r="C353">
        <v>3</v>
      </c>
      <c r="D353" s="46">
        <f t="array" ref="D353">+INDEX('OUTCOME MODEL'!$U$10:$Z$87,MATCH(Table1[[#This Row],[DRIVERS]]&amp;Table1[[#This Row],[DEMAND]],'OUTCOME MODEL'!$A$10:$A$87&amp;'OUTCOME MODEL'!$B$10:$B$87,0),MATCH(Table1[[#This Row],[CAPACITY]],'OUTCOME MODEL'!$U$9:$Z$9))</f>
        <v>78.247842991049808</v>
      </c>
      <c r="E353" s="58">
        <f t="array" ref="E353">+INDEX('OUTCOME MODEL'!$C$10:$H$87,MATCH(Table1[[#This Row],[DRIVERS]]&amp;Table1[[#This Row],[DEMAND]],'OUTCOME MODEL'!$A$10:$A$87&amp;'OUTCOME MODEL'!$B$10:$B$87,0),MATCH(Table1[[#This Row],[CAPACITY]],'OUTCOME MODEL'!$C$9:$H$9))</f>
        <v>0.99362340306094987</v>
      </c>
      <c r="F353" s="58">
        <f t="array" ref="F353">+INDEX('OUTCOME MODEL'!$I$10:$N$87,MATCH(Table1[[#This Row],[DRIVERS]]&amp;Table1[[#This Row],[DEMAND]],'OUTCOME MODEL'!$A$10:$A$87&amp;'OUTCOME MODEL'!$B$10:$B$87,0),MATCH(Table1[[#This Row],[CAPACITY]],'OUTCOME MODEL'!$I$9:$N$9))</f>
        <v>0.68300000000000005</v>
      </c>
      <c r="G353" s="60">
        <f t="array" ref="G353">+INDEX('OUTCOME MODEL'!$O$10:$T$87,MATCH(Table1[[#This Row],[DRIVERS]]&amp;Table1[[#This Row],[DEMAND]],'OUTCOME MODEL'!$A$10:$A$87&amp;'OUTCOME MODEL'!$B$10:$B$87,0),MATCH(Table1[[#This Row],[CAPACITY]],'OUTCOME MODEL'!$O$9:$T$9))</f>
        <v>2.9808702091828496</v>
      </c>
    </row>
    <row r="354" spans="1:7" x14ac:dyDescent="0.35">
      <c r="A354" s="45">
        <v>3</v>
      </c>
      <c r="B354" s="22">
        <v>12</v>
      </c>
      <c r="C354">
        <v>3</v>
      </c>
      <c r="D354" s="46">
        <f t="array" ref="D354">+INDEX('OUTCOME MODEL'!$U$10:$Z$87,MATCH(Table1[[#This Row],[DRIVERS]]&amp;Table1[[#This Row],[DEMAND]],'OUTCOME MODEL'!$A$10:$A$87&amp;'OUTCOME MODEL'!$B$10:$B$87,0),MATCH(Table1[[#This Row],[CAPACITY]],'OUTCOME MODEL'!$U$9:$Z$9))</f>
        <v>79.993687688236562</v>
      </c>
      <c r="E354" s="58">
        <f t="array" ref="E354">+INDEX('OUTCOME MODEL'!$C$10:$H$87,MATCH(Table1[[#This Row],[DRIVERS]]&amp;Table1[[#This Row],[DEMAND]],'OUTCOME MODEL'!$A$10:$A$87&amp;'OUTCOME MODEL'!$B$10:$B$87,0),MATCH(Table1[[#This Row],[CAPACITY]],'OUTCOME MODEL'!$C$9:$H$9))</f>
        <v>1.0157928595331627</v>
      </c>
      <c r="F354" s="58">
        <f t="array" ref="F354">+INDEX('OUTCOME MODEL'!$I$10:$N$87,MATCH(Table1[[#This Row],[DRIVERS]]&amp;Table1[[#This Row],[DEMAND]],'OUTCOME MODEL'!$A$10:$A$87&amp;'OUTCOME MODEL'!$B$10:$B$87,0),MATCH(Table1[[#This Row],[CAPACITY]],'OUTCOME MODEL'!$I$9:$N$9))</f>
        <v>0.58399999999999996</v>
      </c>
      <c r="G354" s="60">
        <f t="array" ref="G354">+INDEX('OUTCOME MODEL'!$O$10:$T$87,MATCH(Table1[[#This Row],[DRIVERS]]&amp;Table1[[#This Row],[DEMAND]],'OUTCOME MODEL'!$A$10:$A$87&amp;'OUTCOME MODEL'!$B$10:$B$87,0),MATCH(Table1[[#This Row],[CAPACITY]],'OUTCOME MODEL'!$O$9:$T$9))</f>
        <v>3.047378578599488</v>
      </c>
    </row>
    <row r="355" spans="1:7" x14ac:dyDescent="0.35">
      <c r="A355" s="48">
        <v>4</v>
      </c>
      <c r="B355" s="49">
        <v>0</v>
      </c>
      <c r="C355">
        <v>3</v>
      </c>
      <c r="D355" s="46">
        <f t="array" ref="D355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55" s="58">
        <f t="array" ref="E355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55" s="58">
        <f t="array" ref="F355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55" s="60">
        <f t="array" ref="G355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56" spans="1:7" x14ac:dyDescent="0.35">
      <c r="A356" s="45">
        <v>4</v>
      </c>
      <c r="B356" s="22">
        <v>1</v>
      </c>
      <c r="C356">
        <v>3</v>
      </c>
      <c r="D356" s="46">
        <f t="array" ref="D356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56" s="58">
        <f t="array" ref="E356">+INDEX('OUTCOME MODEL'!$C$10:$H$87,MATCH(Table1[[#This Row],[DRIVERS]]&amp;Table1[[#This Row],[DEMAND]],'OUTCOME MODEL'!$A$10:$A$87&amp;'OUTCOME MODEL'!$B$10:$B$87,0),MATCH(Table1[[#This Row],[CAPACITY]],'OUTCOME MODEL'!$C$9:$H$9))</f>
        <v>0.11549672051355983</v>
      </c>
      <c r="F356" s="58">
        <f t="array" ref="F356">+INDEX('OUTCOME MODEL'!$I$10:$N$87,MATCH(Table1[[#This Row],[DRIVERS]]&amp;Table1[[#This Row],[DEMAND]],'OUTCOME MODEL'!$A$10:$A$87&amp;'OUTCOME MODEL'!$B$10:$B$87,0),MATCH(Table1[[#This Row],[CAPACITY]],'OUTCOME MODEL'!$I$9:$N$9))</f>
        <v>0.995</v>
      </c>
      <c r="G356" s="60">
        <f t="array" ref="G356">+INDEX('OUTCOME MODEL'!$O$10:$T$87,MATCH(Table1[[#This Row],[DRIVERS]]&amp;Table1[[#This Row],[DEMAND]],'OUTCOME MODEL'!$A$10:$A$87&amp;'OUTCOME MODEL'!$B$10:$B$87,0),MATCH(Table1[[#This Row],[CAPACITY]],'OUTCOME MODEL'!$O$9:$T$9))</f>
        <v>0.25</v>
      </c>
    </row>
    <row r="357" spans="1:7" x14ac:dyDescent="0.35">
      <c r="A357" s="45">
        <v>4</v>
      </c>
      <c r="B357" s="22">
        <v>2</v>
      </c>
      <c r="C357">
        <v>3</v>
      </c>
      <c r="D357" s="46">
        <f t="array" ref="D357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57" s="58">
        <f t="array" ref="E357">+INDEX('OUTCOME MODEL'!$C$10:$H$87,MATCH(Table1[[#This Row],[DRIVERS]]&amp;Table1[[#This Row],[DEMAND]],'OUTCOME MODEL'!$A$10:$A$87&amp;'OUTCOME MODEL'!$B$10:$B$87,0),MATCH(Table1[[#This Row],[CAPACITY]],'OUTCOME MODEL'!$C$9:$H$9))</f>
        <v>0.22715819699691225</v>
      </c>
      <c r="F357" s="58">
        <f t="array" ref="F357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57" s="60">
        <f t="array" ref="G357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358" spans="1:7" x14ac:dyDescent="0.35">
      <c r="A358" s="45">
        <v>4</v>
      </c>
      <c r="B358" s="22">
        <v>3</v>
      </c>
      <c r="C358">
        <v>3</v>
      </c>
      <c r="D358" s="46">
        <f t="array" ref="D358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58" s="58">
        <f t="array" ref="E358">+INDEX('OUTCOME MODEL'!$C$10:$H$87,MATCH(Table1[[#This Row],[DRIVERS]]&amp;Table1[[#This Row],[DEMAND]],'OUTCOME MODEL'!$A$10:$A$87&amp;'OUTCOME MODEL'!$B$10:$B$87,0),MATCH(Table1[[#This Row],[CAPACITY]],'OUTCOME MODEL'!$C$9:$H$9))</f>
        <v>0.33852578893079016</v>
      </c>
      <c r="F358" s="58">
        <f t="array" ref="F358">+INDEX('OUTCOME MODEL'!$I$10:$N$87,MATCH(Table1[[#This Row],[DRIVERS]]&amp;Table1[[#This Row],[DEMAND]],'OUTCOME MODEL'!$A$10:$A$87&amp;'OUTCOME MODEL'!$B$10:$B$87,0),MATCH(Table1[[#This Row],[CAPACITY]],'OUTCOME MODEL'!$I$9:$N$9))</f>
        <v>0.996</v>
      </c>
      <c r="G358" s="60">
        <f t="array" ref="G358">+INDEX('OUTCOME MODEL'!$O$10:$T$87,MATCH(Table1[[#This Row],[DRIVERS]]&amp;Table1[[#This Row],[DEMAND]],'OUTCOME MODEL'!$A$10:$A$87&amp;'OUTCOME MODEL'!$B$10:$B$87,0),MATCH(Table1[[#This Row],[CAPACITY]],'OUTCOME MODEL'!$O$9:$T$9))</f>
        <v>0.75</v>
      </c>
    </row>
    <row r="359" spans="1:7" x14ac:dyDescent="0.35">
      <c r="A359" s="45">
        <v>4</v>
      </c>
      <c r="B359" s="22">
        <v>4</v>
      </c>
      <c r="C359">
        <v>3</v>
      </c>
      <c r="D359" s="46">
        <f t="array" ref="D359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59" s="58">
        <f t="array" ref="E359">+INDEX('OUTCOME MODEL'!$C$10:$H$87,MATCH(Table1[[#This Row],[DRIVERS]]&amp;Table1[[#This Row],[DEMAND]],'OUTCOME MODEL'!$A$10:$A$87&amp;'OUTCOME MODEL'!$B$10:$B$87,0),MATCH(Table1[[#This Row],[CAPACITY]],'OUTCOME MODEL'!$C$9:$H$9))</f>
        <v>0.43908623234450617</v>
      </c>
      <c r="F359" s="58">
        <f t="array" ref="F359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59" s="60">
        <f t="array" ref="G35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60" spans="1:7" x14ac:dyDescent="0.35">
      <c r="A360" s="45">
        <v>4</v>
      </c>
      <c r="B360" s="22">
        <v>5</v>
      </c>
      <c r="C360">
        <v>3</v>
      </c>
      <c r="D360" s="46">
        <f t="array" ref="D360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60" s="58">
        <f t="array" ref="E360">+INDEX('OUTCOME MODEL'!$C$10:$H$87,MATCH(Table1[[#This Row],[DRIVERS]]&amp;Table1[[#This Row],[DEMAND]],'OUTCOME MODEL'!$A$10:$A$87&amp;'OUTCOME MODEL'!$B$10:$B$87,0),MATCH(Table1[[#This Row],[CAPACITY]],'OUTCOME MODEL'!$C$9:$H$9))</f>
        <v>0.53408249160481502</v>
      </c>
      <c r="F360" s="58">
        <f t="array" ref="F360">+INDEX('OUTCOME MODEL'!$I$10:$N$87,MATCH(Table1[[#This Row],[DRIVERS]]&amp;Table1[[#This Row],[DEMAND]],'OUTCOME MODEL'!$A$10:$A$87&amp;'OUTCOME MODEL'!$B$10:$B$87,0),MATCH(Table1[[#This Row],[CAPACITY]],'OUTCOME MODEL'!$I$9:$N$9))</f>
        <v>0.98299999999999998</v>
      </c>
      <c r="G360" s="60">
        <f t="array" ref="G360">+INDEX('OUTCOME MODEL'!$O$10:$T$87,MATCH(Table1[[#This Row],[DRIVERS]]&amp;Table1[[#This Row],[DEMAND]],'OUTCOME MODEL'!$A$10:$A$87&amp;'OUTCOME MODEL'!$B$10:$B$87,0),MATCH(Table1[[#This Row],[CAPACITY]],'OUTCOME MODEL'!$O$9:$T$9))</f>
        <v>1.25</v>
      </c>
    </row>
    <row r="361" spans="1:7" x14ac:dyDescent="0.35">
      <c r="A361" s="45">
        <v>4</v>
      </c>
      <c r="B361" s="22">
        <v>6</v>
      </c>
      <c r="C361">
        <v>3</v>
      </c>
      <c r="D361" s="46">
        <f t="array" ref="D361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361" s="58">
        <f t="array" ref="E361">+INDEX('OUTCOME MODEL'!$C$10:$H$87,MATCH(Table1[[#This Row],[DRIVERS]]&amp;Table1[[#This Row],[DEMAND]],'OUTCOME MODEL'!$A$10:$A$87&amp;'OUTCOME MODEL'!$B$10:$B$87,0),MATCH(Table1[[#This Row],[CAPACITY]],'OUTCOME MODEL'!$C$9:$H$9))</f>
        <v>0.62439659440301287</v>
      </c>
      <c r="F361" s="58">
        <f t="array" ref="F361">+INDEX('OUTCOME MODEL'!$I$10:$N$87,MATCH(Table1[[#This Row],[DRIVERS]]&amp;Table1[[#This Row],[DEMAND]],'OUTCOME MODEL'!$A$10:$A$87&amp;'OUTCOME MODEL'!$B$10:$B$87,0),MATCH(Table1[[#This Row],[CAPACITY]],'OUTCOME MODEL'!$I$9:$N$9))</f>
        <v>0.96699999999999997</v>
      </c>
      <c r="G361" s="60">
        <f t="array" ref="G361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362" spans="1:7" x14ac:dyDescent="0.35">
      <c r="A362" s="45">
        <v>4</v>
      </c>
      <c r="B362" s="22">
        <v>7</v>
      </c>
      <c r="C362">
        <v>3</v>
      </c>
      <c r="D362" s="46">
        <f t="array" ref="D362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362" s="58">
        <f t="array" ref="E362">+INDEX('OUTCOME MODEL'!$C$10:$H$87,MATCH(Table1[[#This Row],[DRIVERS]]&amp;Table1[[#This Row],[DEMAND]],'OUTCOME MODEL'!$A$10:$A$87&amp;'OUTCOME MODEL'!$B$10:$B$87,0),MATCH(Table1[[#This Row],[CAPACITY]],'OUTCOME MODEL'!$C$9:$H$9))</f>
        <v>0.70034282220538291</v>
      </c>
      <c r="F362" s="58">
        <f t="array" ref="F362">+INDEX('OUTCOME MODEL'!$I$10:$N$87,MATCH(Table1[[#This Row],[DRIVERS]]&amp;Table1[[#This Row],[DEMAND]],'OUTCOME MODEL'!$A$10:$A$87&amp;'OUTCOME MODEL'!$B$10:$B$87,0),MATCH(Table1[[#This Row],[CAPACITY]],'OUTCOME MODEL'!$I$9:$N$9))</f>
        <v>0.95399999999999996</v>
      </c>
      <c r="G362" s="60">
        <f t="array" ref="G362">+INDEX('OUTCOME MODEL'!$O$10:$T$87,MATCH(Table1[[#This Row],[DRIVERS]]&amp;Table1[[#This Row],[DEMAND]],'OUTCOME MODEL'!$A$10:$A$87&amp;'OUTCOME MODEL'!$B$10:$B$87,0),MATCH(Table1[[#This Row],[CAPACITY]],'OUTCOME MODEL'!$O$9:$T$9))</f>
        <v>1.75</v>
      </c>
    </row>
    <row r="363" spans="1:7" x14ac:dyDescent="0.35">
      <c r="A363" s="19">
        <v>4</v>
      </c>
      <c r="B363" s="20">
        <v>8</v>
      </c>
      <c r="C363">
        <v>3</v>
      </c>
      <c r="D363" s="46">
        <f t="array" ref="D363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363" s="58">
        <f t="array" ref="E363">+INDEX('OUTCOME MODEL'!$C$10:$H$87,MATCH(Table1[[#This Row],[DRIVERS]]&amp;Table1[[#This Row],[DEMAND]],'OUTCOME MODEL'!$A$10:$A$87&amp;'OUTCOME MODEL'!$B$10:$B$87,0),MATCH(Table1[[#This Row],[CAPACITY]],'OUTCOME MODEL'!$C$9:$H$9))</f>
        <v>0.7713190425089933</v>
      </c>
      <c r="F363" s="58">
        <f t="array" ref="F363">+INDEX('OUTCOME MODEL'!$I$10:$N$87,MATCH(Table1[[#This Row],[DRIVERS]]&amp;Table1[[#This Row],[DEMAND]],'OUTCOME MODEL'!$A$10:$A$87&amp;'OUTCOME MODEL'!$B$10:$B$87,0),MATCH(Table1[[#This Row],[CAPACITY]],'OUTCOME MODEL'!$I$9:$N$9))</f>
        <v>0.92900000000000005</v>
      </c>
      <c r="G363" s="60">
        <f t="array" ref="G363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64" spans="1:7" x14ac:dyDescent="0.35">
      <c r="A364" s="45">
        <v>4</v>
      </c>
      <c r="B364" s="22">
        <v>9</v>
      </c>
      <c r="C364">
        <v>3</v>
      </c>
      <c r="D364" s="46">
        <f t="array" ref="D364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364" s="58">
        <f t="array" ref="E364">+INDEX('OUTCOME MODEL'!$C$10:$H$87,MATCH(Table1[[#This Row],[DRIVERS]]&amp;Table1[[#This Row],[DEMAND]],'OUTCOME MODEL'!$A$10:$A$87&amp;'OUTCOME MODEL'!$B$10:$B$87,0),MATCH(Table1[[#This Row],[CAPACITY]],'OUTCOME MODEL'!$C$9:$H$9))</f>
        <v>0.82138768121504613</v>
      </c>
      <c r="F364" s="58">
        <f t="array" ref="F364">+INDEX('OUTCOME MODEL'!$I$10:$N$87,MATCH(Table1[[#This Row],[DRIVERS]]&amp;Table1[[#This Row],[DEMAND]],'OUTCOME MODEL'!$A$10:$A$87&amp;'OUTCOME MODEL'!$B$10:$B$87,0),MATCH(Table1[[#This Row],[CAPACITY]],'OUTCOME MODEL'!$I$9:$N$9))</f>
        <v>0.89800000000000002</v>
      </c>
      <c r="G364" s="60">
        <f t="array" ref="G364">+INDEX('OUTCOME MODEL'!$O$10:$T$87,MATCH(Table1[[#This Row],[DRIVERS]]&amp;Table1[[#This Row],[DEMAND]],'OUTCOME MODEL'!$A$10:$A$87&amp;'OUTCOME MODEL'!$B$10:$B$87,0),MATCH(Table1[[#This Row],[CAPACITY]],'OUTCOME MODEL'!$O$9:$T$9))</f>
        <v>2.25</v>
      </c>
    </row>
    <row r="365" spans="1:7" x14ac:dyDescent="0.35">
      <c r="A365" s="45">
        <v>4</v>
      </c>
      <c r="B365" s="22">
        <v>10</v>
      </c>
      <c r="C365">
        <v>3</v>
      </c>
      <c r="D365" s="46">
        <f t="array" ref="D365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365" s="58">
        <f t="array" ref="E365">+INDEX('OUTCOME MODEL'!$C$10:$H$87,MATCH(Table1[[#This Row],[DRIVERS]]&amp;Table1[[#This Row],[DEMAND]],'OUTCOME MODEL'!$A$10:$A$87&amp;'OUTCOME MODEL'!$B$10:$B$87,0),MATCH(Table1[[#This Row],[CAPACITY]],'OUTCOME MODEL'!$C$9:$H$9))</f>
        <v>0.86557343470300618</v>
      </c>
      <c r="F365" s="58">
        <f t="array" ref="F365">+INDEX('OUTCOME MODEL'!$I$10:$N$87,MATCH(Table1[[#This Row],[DRIVERS]]&amp;Table1[[#This Row],[DEMAND]],'OUTCOME MODEL'!$A$10:$A$87&amp;'OUTCOME MODEL'!$B$10:$B$87,0),MATCH(Table1[[#This Row],[CAPACITY]],'OUTCOME MODEL'!$I$9:$N$9))</f>
        <v>0.85699999999999998</v>
      </c>
      <c r="G365" s="60">
        <f t="array" ref="G365">+INDEX('OUTCOME MODEL'!$O$10:$T$87,MATCH(Table1[[#This Row],[DRIVERS]]&amp;Table1[[#This Row],[DEMAND]],'OUTCOME MODEL'!$A$10:$A$87&amp;'OUTCOME MODEL'!$B$10:$B$87,0),MATCH(Table1[[#This Row],[CAPACITY]],'OUTCOME MODEL'!$O$9:$T$9))</f>
        <v>2.5</v>
      </c>
    </row>
    <row r="366" spans="1:7" x14ac:dyDescent="0.35">
      <c r="A366" s="45">
        <v>4</v>
      </c>
      <c r="B366" s="22">
        <v>11</v>
      </c>
      <c r="C366">
        <v>3</v>
      </c>
      <c r="D366" s="46">
        <f t="array" ref="D366">+INDEX('OUTCOME MODEL'!$U$10:$Z$87,MATCH(Table1[[#This Row],[DRIVERS]]&amp;Table1[[#This Row],[DEMAND]],'OUTCOME MODEL'!$A$10:$A$87&amp;'OUTCOME MODEL'!$B$10:$B$87,0),MATCH(Table1[[#This Row],[CAPACITY]],'OUTCOME MODEL'!$U$9:$Z$9))</f>
        <v>94.758768410980821</v>
      </c>
      <c r="E366" s="58">
        <f t="array" ref="E366">+INDEX('OUTCOME MODEL'!$C$10:$H$87,MATCH(Table1[[#This Row],[DRIVERS]]&amp;Table1[[#This Row],[DEMAND]],'OUTCOME MODEL'!$A$10:$A$87&amp;'OUTCOME MODEL'!$B$10:$B$87,0),MATCH(Table1[[#This Row],[CAPACITY]],'OUTCOME MODEL'!$C$9:$H$9))</f>
        <v>0.90246446105696021</v>
      </c>
      <c r="F366" s="58">
        <f t="array" ref="F366">+INDEX('OUTCOME MODEL'!$I$10:$N$87,MATCH(Table1[[#This Row],[DRIVERS]]&amp;Table1[[#This Row],[DEMAND]],'OUTCOME MODEL'!$A$10:$A$87&amp;'OUTCOME MODEL'!$B$10:$B$87,0),MATCH(Table1[[#This Row],[CAPACITY]],'OUTCOME MODEL'!$I$9:$N$9))</f>
        <v>0.82599999999999996</v>
      </c>
      <c r="G366" s="60">
        <f t="array" ref="G366">+INDEX('OUTCOME MODEL'!$O$10:$T$87,MATCH(Table1[[#This Row],[DRIVERS]]&amp;Table1[[#This Row],[DEMAND]],'OUTCOME MODEL'!$A$10:$A$87&amp;'OUTCOME MODEL'!$B$10:$B$87,0),MATCH(Table1[[#This Row],[CAPACITY]],'OUTCOME MODEL'!$O$9:$T$9))</f>
        <v>2.7073933831708805</v>
      </c>
    </row>
    <row r="367" spans="1:7" x14ac:dyDescent="0.35">
      <c r="A367" s="45">
        <v>4</v>
      </c>
      <c r="B367" s="22">
        <v>12</v>
      </c>
      <c r="C367">
        <v>3</v>
      </c>
      <c r="D367" s="46">
        <f t="array" ref="D367">+INDEX('OUTCOME MODEL'!$U$10:$Z$87,MATCH(Table1[[#This Row],[DRIVERS]]&amp;Table1[[#This Row],[DEMAND]],'OUTCOME MODEL'!$A$10:$A$87&amp;'OUTCOME MODEL'!$B$10:$B$87,0),MATCH(Table1[[#This Row],[CAPACITY]],'OUTCOME MODEL'!$U$9:$Z$9))</f>
        <v>96.97195042128611</v>
      </c>
      <c r="E367" s="58">
        <f t="array" ref="E367">+INDEX('OUTCOME MODEL'!$C$10:$H$87,MATCH(Table1[[#This Row],[DRIVERS]]&amp;Table1[[#This Row],[DEMAND]],'OUTCOME MODEL'!$A$10:$A$87&amp;'OUTCOME MODEL'!$B$10:$B$87,0),MATCH(Table1[[#This Row],[CAPACITY]],'OUTCOME MODEL'!$C$9:$H$9))</f>
        <v>0.9235423849646297</v>
      </c>
      <c r="F367" s="58">
        <f t="array" ref="F367">+INDEX('OUTCOME MODEL'!$I$10:$N$87,MATCH(Table1[[#This Row],[DRIVERS]]&amp;Table1[[#This Row],[DEMAND]],'OUTCOME MODEL'!$A$10:$A$87&amp;'OUTCOME MODEL'!$B$10:$B$87,0),MATCH(Table1[[#This Row],[CAPACITY]],'OUTCOME MODEL'!$I$9:$N$9))</f>
        <v>0.77300000000000002</v>
      </c>
      <c r="G367" s="60">
        <f t="array" ref="G367">+INDEX('OUTCOME MODEL'!$O$10:$T$87,MATCH(Table1[[#This Row],[DRIVERS]]&amp;Table1[[#This Row],[DEMAND]],'OUTCOME MODEL'!$A$10:$A$87&amp;'OUTCOME MODEL'!$B$10:$B$87,0),MATCH(Table1[[#This Row],[CAPACITY]],'OUTCOME MODEL'!$O$9:$T$9))</f>
        <v>2.770627154893889</v>
      </c>
    </row>
    <row r="368" spans="1:7" x14ac:dyDescent="0.35">
      <c r="A368" s="68">
        <v>5</v>
      </c>
      <c r="B368" s="49">
        <v>0</v>
      </c>
      <c r="C368">
        <v>3</v>
      </c>
      <c r="D368" s="46">
        <f t="array" ref="D368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68" s="58">
        <f t="array" ref="E368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68" s="58">
        <f t="array" ref="F368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68" s="60">
        <f t="array" ref="G368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69" spans="1:7" x14ac:dyDescent="0.35">
      <c r="A369" s="45">
        <v>5</v>
      </c>
      <c r="B369" s="22">
        <v>1</v>
      </c>
      <c r="C369">
        <v>3</v>
      </c>
      <c r="D369" s="46">
        <f t="array" ref="D369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69" s="58">
        <f t="array" ref="E369">+INDEX('OUTCOME MODEL'!$C$10:$H$87,MATCH(Table1[[#This Row],[DRIVERS]]&amp;Table1[[#This Row],[DEMAND]],'OUTCOME MODEL'!$A$10:$A$87&amp;'OUTCOME MODEL'!$B$10:$B$87,0),MATCH(Table1[[#This Row],[CAPACITY]],'OUTCOME MODEL'!$C$9:$H$9))</f>
        <v>9.3600312840167538E-2</v>
      </c>
      <c r="F369" s="58">
        <f t="array" ref="F369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369" s="60">
        <f t="array" ref="G369">+INDEX('OUTCOME MODEL'!$O$10:$T$87,MATCH(Table1[[#This Row],[DRIVERS]]&amp;Table1[[#This Row],[DEMAND]],'OUTCOME MODEL'!$A$10:$A$87&amp;'OUTCOME MODEL'!$B$10:$B$87,0),MATCH(Table1[[#This Row],[CAPACITY]],'OUTCOME MODEL'!$O$9:$T$9))</f>
        <v>0.2</v>
      </c>
    </row>
    <row r="370" spans="1:7" x14ac:dyDescent="0.35">
      <c r="A370" s="45">
        <v>5</v>
      </c>
      <c r="B370" s="22">
        <v>2</v>
      </c>
      <c r="C370">
        <v>3</v>
      </c>
      <c r="D370" s="46">
        <f t="array" ref="D370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70" s="58">
        <f t="array" ref="E370">+INDEX('OUTCOME MODEL'!$C$10:$H$87,MATCH(Table1[[#This Row],[DRIVERS]]&amp;Table1[[#This Row],[DEMAND]],'OUTCOME MODEL'!$A$10:$A$87&amp;'OUTCOME MODEL'!$B$10:$B$87,0),MATCH(Table1[[#This Row],[CAPACITY]],'OUTCOME MODEL'!$C$9:$H$9))</f>
        <v>0.18321506709765545</v>
      </c>
      <c r="F370" s="58">
        <f t="array" ref="F370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370" s="60">
        <f t="array" ref="G370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371" spans="1:7" x14ac:dyDescent="0.35">
      <c r="A371" s="45">
        <v>5</v>
      </c>
      <c r="B371" s="22">
        <v>3</v>
      </c>
      <c r="C371">
        <v>3</v>
      </c>
      <c r="D371" s="46">
        <f t="array" ref="D371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71" s="58">
        <f t="array" ref="E371">+INDEX('OUTCOME MODEL'!$C$10:$H$87,MATCH(Table1[[#This Row],[DRIVERS]]&amp;Table1[[#This Row],[DEMAND]],'OUTCOME MODEL'!$A$10:$A$87&amp;'OUTCOME MODEL'!$B$10:$B$87,0),MATCH(Table1[[#This Row],[CAPACITY]],'OUTCOME MODEL'!$C$9:$H$9))</f>
        <v>0.26883025203297201</v>
      </c>
      <c r="F371" s="58">
        <f t="array" ref="F371">+INDEX('OUTCOME MODEL'!$I$10:$N$87,MATCH(Table1[[#This Row],[DRIVERS]]&amp;Table1[[#This Row],[DEMAND]],'OUTCOME MODEL'!$A$10:$A$87&amp;'OUTCOME MODEL'!$B$10:$B$87,0),MATCH(Table1[[#This Row],[CAPACITY]],'OUTCOME MODEL'!$I$9:$N$9))</f>
        <v>0.995</v>
      </c>
      <c r="G371" s="60">
        <f t="array" ref="G371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372" spans="1:7" x14ac:dyDescent="0.35">
      <c r="A372" s="45">
        <v>5</v>
      </c>
      <c r="B372" s="22">
        <v>4</v>
      </c>
      <c r="C372">
        <v>3</v>
      </c>
      <c r="D372" s="46">
        <f t="array" ref="D372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72" s="58">
        <f t="array" ref="E372">+INDEX('OUTCOME MODEL'!$C$10:$H$87,MATCH(Table1[[#This Row],[DRIVERS]]&amp;Table1[[#This Row],[DEMAND]],'OUTCOME MODEL'!$A$10:$A$87&amp;'OUTCOME MODEL'!$B$10:$B$87,0),MATCH(Table1[[#This Row],[CAPACITY]],'OUTCOME MODEL'!$C$9:$H$9))</f>
        <v>0.35217100559660647</v>
      </c>
      <c r="F372" s="58">
        <f t="array" ref="F372">+INDEX('OUTCOME MODEL'!$I$10:$N$87,MATCH(Table1[[#This Row],[DRIVERS]]&amp;Table1[[#This Row],[DEMAND]],'OUTCOME MODEL'!$A$10:$A$87&amp;'OUTCOME MODEL'!$B$10:$B$87,0),MATCH(Table1[[#This Row],[CAPACITY]],'OUTCOME MODEL'!$I$9:$N$9))</f>
        <v>0.99</v>
      </c>
      <c r="G372" s="60">
        <f t="array" ref="G372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373" spans="1:7" x14ac:dyDescent="0.35">
      <c r="A373" s="45">
        <v>5</v>
      </c>
      <c r="B373" s="22">
        <v>5</v>
      </c>
      <c r="C373">
        <v>3</v>
      </c>
      <c r="D373" s="46">
        <f t="array" ref="D373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73" s="58">
        <f t="array" ref="E373">+INDEX('OUTCOME MODEL'!$C$10:$H$87,MATCH(Table1[[#This Row],[DRIVERS]]&amp;Table1[[#This Row],[DEMAND]],'OUTCOME MODEL'!$A$10:$A$87&amp;'OUTCOME MODEL'!$B$10:$B$87,0),MATCH(Table1[[#This Row],[CAPACITY]],'OUTCOME MODEL'!$C$9:$H$9))</f>
        <v>0.43064013708044285</v>
      </c>
      <c r="F373" s="58">
        <f t="array" ref="F373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73" s="60">
        <f t="array" ref="G373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74" spans="1:7" x14ac:dyDescent="0.35">
      <c r="A374" s="45">
        <v>5</v>
      </c>
      <c r="B374" s="22">
        <v>6</v>
      </c>
      <c r="C374">
        <v>3</v>
      </c>
      <c r="D374" s="46">
        <f t="array" ref="D374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374" s="58">
        <f t="array" ref="E374">+INDEX('OUTCOME MODEL'!$C$10:$H$87,MATCH(Table1[[#This Row],[DRIVERS]]&amp;Table1[[#This Row],[DEMAND]],'OUTCOME MODEL'!$A$10:$A$87&amp;'OUTCOME MODEL'!$B$10:$B$87,0),MATCH(Table1[[#This Row],[CAPACITY]],'OUTCOME MODEL'!$C$9:$H$9))</f>
        <v>0.51328742842007313</v>
      </c>
      <c r="F374" s="58">
        <f t="array" ref="F374">+INDEX('OUTCOME MODEL'!$I$10:$N$87,MATCH(Table1[[#This Row],[DRIVERS]]&amp;Table1[[#This Row],[DEMAND]],'OUTCOME MODEL'!$A$10:$A$87&amp;'OUTCOME MODEL'!$B$10:$B$87,0),MATCH(Table1[[#This Row],[CAPACITY]],'OUTCOME MODEL'!$I$9:$N$9))</f>
        <v>0.996</v>
      </c>
      <c r="G374" s="60">
        <f t="array" ref="G374">+INDEX('OUTCOME MODEL'!$O$10:$T$87,MATCH(Table1[[#This Row],[DRIVERS]]&amp;Table1[[#This Row],[DEMAND]],'OUTCOME MODEL'!$A$10:$A$87&amp;'OUTCOME MODEL'!$B$10:$B$87,0),MATCH(Table1[[#This Row],[CAPACITY]],'OUTCOME MODEL'!$O$9:$T$9))</f>
        <v>1.2</v>
      </c>
    </row>
    <row r="375" spans="1:7" x14ac:dyDescent="0.35">
      <c r="A375" s="45">
        <v>5</v>
      </c>
      <c r="B375" s="22">
        <v>7</v>
      </c>
      <c r="C375">
        <v>3</v>
      </c>
      <c r="D375" s="46">
        <f t="array" ref="D375">+INDEX('OUTCOME MODEL'!$U$10:$Z$87,MATCH(Table1[[#This Row],[DRIVERS]]&amp;Table1[[#This Row],[DEMAND]],'OUTCOME MODEL'!$A$10:$A$87&amp;'OUTCOME MODEL'!$B$10:$B$87,0),MATCH(Table1[[#This Row],[CAPACITY]],'OUTCOME MODEL'!$U$9:$Z$9))</f>
        <v>61.250000000000007</v>
      </c>
      <c r="E375" s="58">
        <f t="array" ref="E375">+INDEX('OUTCOME MODEL'!$C$10:$H$87,MATCH(Table1[[#This Row],[DRIVERS]]&amp;Table1[[#This Row],[DEMAND]],'OUTCOME MODEL'!$A$10:$A$87&amp;'OUTCOME MODEL'!$B$10:$B$87,0),MATCH(Table1[[#This Row],[CAPACITY]],'OUTCOME MODEL'!$C$9:$H$9))</f>
        <v>0.58297214142464981</v>
      </c>
      <c r="F375" s="58">
        <f t="array" ref="F375">+INDEX('OUTCOME MODEL'!$I$10:$N$87,MATCH(Table1[[#This Row],[DRIVERS]]&amp;Table1[[#This Row],[DEMAND]],'OUTCOME MODEL'!$A$10:$A$87&amp;'OUTCOME MODEL'!$B$10:$B$87,0),MATCH(Table1[[#This Row],[CAPACITY]],'OUTCOME MODEL'!$I$9:$N$9))</f>
        <v>0.98299999999999998</v>
      </c>
      <c r="G375" s="60">
        <f t="array" ref="G375">+INDEX('OUTCOME MODEL'!$O$10:$T$87,MATCH(Table1[[#This Row],[DRIVERS]]&amp;Table1[[#This Row],[DEMAND]],'OUTCOME MODEL'!$A$10:$A$87&amp;'OUTCOME MODEL'!$B$10:$B$87,0),MATCH(Table1[[#This Row],[CAPACITY]],'OUTCOME MODEL'!$O$9:$T$9))</f>
        <v>1.4</v>
      </c>
    </row>
    <row r="376" spans="1:7" x14ac:dyDescent="0.35">
      <c r="A376" s="45">
        <v>5</v>
      </c>
      <c r="B376" s="22">
        <v>8</v>
      </c>
      <c r="C376">
        <v>3</v>
      </c>
      <c r="D376" s="46">
        <f t="array" ref="D376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376" s="58">
        <f t="array" ref="E376">+INDEX('OUTCOME MODEL'!$C$10:$H$87,MATCH(Table1[[#This Row],[DRIVERS]]&amp;Table1[[#This Row],[DEMAND]],'OUTCOME MODEL'!$A$10:$A$87&amp;'OUTCOME MODEL'!$B$10:$B$87,0),MATCH(Table1[[#This Row],[CAPACITY]],'OUTCOME MODEL'!$C$9:$H$9))</f>
        <v>0.65163604487366045</v>
      </c>
      <c r="F376" s="58">
        <f t="array" ref="F376">+INDEX('OUTCOME MODEL'!$I$10:$N$87,MATCH(Table1[[#This Row],[DRIVERS]]&amp;Table1[[#This Row],[DEMAND]],'OUTCOME MODEL'!$A$10:$A$87&amp;'OUTCOME MODEL'!$B$10:$B$87,0),MATCH(Table1[[#This Row],[CAPACITY]],'OUTCOME MODEL'!$I$9:$N$9))</f>
        <v>0.97899999999999998</v>
      </c>
      <c r="G376" s="60">
        <f t="array" ref="G376">+INDEX('OUTCOME MODEL'!$O$10:$T$87,MATCH(Table1[[#This Row],[DRIVERS]]&amp;Table1[[#This Row],[DEMAND]],'OUTCOME MODEL'!$A$10:$A$87&amp;'OUTCOME MODEL'!$B$10:$B$87,0),MATCH(Table1[[#This Row],[CAPACITY]],'OUTCOME MODEL'!$O$9:$T$9))</f>
        <v>1.6</v>
      </c>
    </row>
    <row r="377" spans="1:7" x14ac:dyDescent="0.35">
      <c r="A377" s="45">
        <v>5</v>
      </c>
      <c r="B377" s="22">
        <v>9</v>
      </c>
      <c r="C377">
        <v>3</v>
      </c>
      <c r="D377" s="46">
        <f t="array" ref="D377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377" s="58">
        <f t="array" ref="E377">+INDEX('OUTCOME MODEL'!$C$10:$H$87,MATCH(Table1[[#This Row],[DRIVERS]]&amp;Table1[[#This Row],[DEMAND]],'OUTCOME MODEL'!$A$10:$A$87&amp;'OUTCOME MODEL'!$B$10:$B$87,0),MATCH(Table1[[#This Row],[CAPACITY]],'OUTCOME MODEL'!$C$9:$H$9))</f>
        <v>0.71162381313881451</v>
      </c>
      <c r="F377" s="58">
        <f t="array" ref="F377">+INDEX('OUTCOME MODEL'!$I$10:$N$87,MATCH(Table1[[#This Row],[DRIVERS]]&amp;Table1[[#This Row],[DEMAND]],'OUTCOME MODEL'!$A$10:$A$87&amp;'OUTCOME MODEL'!$B$10:$B$87,0),MATCH(Table1[[#This Row],[CAPACITY]],'OUTCOME MODEL'!$I$9:$N$9))</f>
        <v>0.95599999999999996</v>
      </c>
      <c r="G377" s="60">
        <f t="array" ref="G377">+INDEX('OUTCOME MODEL'!$O$10:$T$87,MATCH(Table1[[#This Row],[DRIVERS]]&amp;Table1[[#This Row],[DEMAND]],'OUTCOME MODEL'!$A$10:$A$87&amp;'OUTCOME MODEL'!$B$10:$B$87,0),MATCH(Table1[[#This Row],[CAPACITY]],'OUTCOME MODEL'!$O$9:$T$9))</f>
        <v>1.8</v>
      </c>
    </row>
    <row r="378" spans="1:7" x14ac:dyDescent="0.35">
      <c r="A378" s="45">
        <v>5</v>
      </c>
      <c r="B378" s="22">
        <v>10</v>
      </c>
      <c r="C378">
        <v>3</v>
      </c>
      <c r="D378" s="46">
        <f t="array" ref="D378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378" s="58">
        <f t="array" ref="E378">+INDEX('OUTCOME MODEL'!$C$10:$H$87,MATCH(Table1[[#This Row],[DRIVERS]]&amp;Table1[[#This Row],[DEMAND]],'OUTCOME MODEL'!$A$10:$A$87&amp;'OUTCOME MODEL'!$B$10:$B$87,0),MATCH(Table1[[#This Row],[CAPACITY]],'OUTCOME MODEL'!$C$9:$H$9))</f>
        <v>0.76620360661693998</v>
      </c>
      <c r="F378" s="58">
        <f t="array" ref="F378">+INDEX('OUTCOME MODEL'!$I$10:$N$87,MATCH(Table1[[#This Row],[DRIVERS]]&amp;Table1[[#This Row],[DEMAND]],'OUTCOME MODEL'!$A$10:$A$87&amp;'OUTCOME MODEL'!$B$10:$B$87,0),MATCH(Table1[[#This Row],[CAPACITY]],'OUTCOME MODEL'!$I$9:$N$9))</f>
        <v>0.93500000000000005</v>
      </c>
      <c r="G378" s="60">
        <f t="array" ref="G378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79" spans="1:7" x14ac:dyDescent="0.35">
      <c r="A379" s="45">
        <v>5</v>
      </c>
      <c r="B379" s="22">
        <v>11</v>
      </c>
      <c r="C379">
        <v>3</v>
      </c>
      <c r="D379" s="46">
        <f t="array" ref="D379">+INDEX('OUTCOME MODEL'!$U$10:$Z$87,MATCH(Table1[[#This Row],[DRIVERS]]&amp;Table1[[#This Row],[DEMAND]],'OUTCOME MODEL'!$A$10:$A$87&amp;'OUTCOME MODEL'!$B$10:$B$87,0),MATCH(Table1[[#This Row],[CAPACITY]],'OUTCOME MODEL'!$U$9:$Z$9))</f>
        <v>96.25</v>
      </c>
      <c r="E379" s="58">
        <f t="array" ref="E379">+INDEX('OUTCOME MODEL'!$C$10:$H$87,MATCH(Table1[[#This Row],[DRIVERS]]&amp;Table1[[#This Row],[DEMAND]],'OUTCOME MODEL'!$A$10:$A$87&amp;'OUTCOME MODEL'!$B$10:$B$87,0),MATCH(Table1[[#This Row],[CAPACITY]],'OUTCOME MODEL'!$C$9:$H$9))</f>
        <v>0.80404730861190576</v>
      </c>
      <c r="F379" s="58">
        <f t="array" ref="F379">+INDEX('OUTCOME MODEL'!$I$10:$N$87,MATCH(Table1[[#This Row],[DRIVERS]]&amp;Table1[[#This Row],[DEMAND]],'OUTCOME MODEL'!$A$10:$A$87&amp;'OUTCOME MODEL'!$B$10:$B$87,0),MATCH(Table1[[#This Row],[CAPACITY]],'OUTCOME MODEL'!$I$9:$N$9))</f>
        <v>0.91600000000000004</v>
      </c>
      <c r="G379" s="60">
        <f t="array" ref="G379">+INDEX('OUTCOME MODEL'!$O$10:$T$87,MATCH(Table1[[#This Row],[DRIVERS]]&amp;Table1[[#This Row],[DEMAND]],'OUTCOME MODEL'!$A$10:$A$87&amp;'OUTCOME MODEL'!$B$10:$B$87,0),MATCH(Table1[[#This Row],[CAPACITY]],'OUTCOME MODEL'!$O$9:$T$9))</f>
        <v>2.2000000000000002</v>
      </c>
    </row>
    <row r="380" spans="1:7" x14ac:dyDescent="0.35">
      <c r="A380" s="45">
        <v>5</v>
      </c>
      <c r="B380" s="22">
        <v>12</v>
      </c>
      <c r="C380">
        <v>3</v>
      </c>
      <c r="D380" s="46">
        <f t="array" ref="D380">+INDEX('OUTCOME MODEL'!$U$10:$Z$87,MATCH(Table1[[#This Row],[DRIVERS]]&amp;Table1[[#This Row],[DEMAND]],'OUTCOME MODEL'!$A$10:$A$87&amp;'OUTCOME MODEL'!$B$10:$B$87,0),MATCH(Table1[[#This Row],[CAPACITY]],'OUTCOME MODEL'!$U$9:$Z$9))</f>
        <v>105</v>
      </c>
      <c r="E380" s="58">
        <f t="array" ref="E380">+INDEX('OUTCOME MODEL'!$C$10:$H$87,MATCH(Table1[[#This Row],[DRIVERS]]&amp;Table1[[#This Row],[DEMAND]],'OUTCOME MODEL'!$A$10:$A$87&amp;'OUTCOME MODEL'!$B$10:$B$87,0),MATCH(Table1[[#This Row],[CAPACITY]],'OUTCOME MODEL'!$C$9:$H$9))</f>
        <v>0.84300536464513998</v>
      </c>
      <c r="F380" s="58">
        <f t="array" ref="F380">+INDEX('OUTCOME MODEL'!$I$10:$N$87,MATCH(Table1[[#This Row],[DRIVERS]]&amp;Table1[[#This Row],[DEMAND]],'OUTCOME MODEL'!$A$10:$A$87&amp;'OUTCOME MODEL'!$B$10:$B$87,0),MATCH(Table1[[#This Row],[CAPACITY]],'OUTCOME MODEL'!$I$9:$N$9))</f>
        <v>0.88700000000000001</v>
      </c>
      <c r="G380" s="60">
        <f t="array" ref="G380">+INDEX('OUTCOME MODEL'!$O$10:$T$87,MATCH(Table1[[#This Row],[DRIVERS]]&amp;Table1[[#This Row],[DEMAND]],'OUTCOME MODEL'!$A$10:$A$87&amp;'OUTCOME MODEL'!$B$10:$B$87,0),MATCH(Table1[[#This Row],[CAPACITY]],'OUTCOME MODEL'!$O$9:$T$9))</f>
        <v>2.4</v>
      </c>
    </row>
    <row r="381" spans="1:7" x14ac:dyDescent="0.35">
      <c r="A381" s="48">
        <v>6</v>
      </c>
      <c r="B381" s="49">
        <v>0</v>
      </c>
      <c r="C381">
        <v>3</v>
      </c>
      <c r="D381" s="46">
        <f t="array" ref="D381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81" s="58">
        <f t="array" ref="E381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81" s="58">
        <f t="array" ref="F381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81" s="60">
        <f t="array" ref="G381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82" spans="1:7" x14ac:dyDescent="0.35">
      <c r="A382" s="45">
        <v>6</v>
      </c>
      <c r="B382" s="22">
        <v>1</v>
      </c>
      <c r="C382">
        <v>3</v>
      </c>
      <c r="D382" s="46">
        <f t="array" ref="D382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82" s="58">
        <f t="array" ref="E382">+INDEX('OUTCOME MODEL'!$C$10:$H$87,MATCH(Table1[[#This Row],[DRIVERS]]&amp;Table1[[#This Row],[DEMAND]],'OUTCOME MODEL'!$A$10:$A$87&amp;'OUTCOME MODEL'!$B$10:$B$87,0),MATCH(Table1[[#This Row],[CAPACITY]],'OUTCOME MODEL'!$C$9:$H$9))</f>
        <v>7.6882690678465287E-2</v>
      </c>
      <c r="F382" s="58">
        <f t="array" ref="F382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382" s="60">
        <f t="array" ref="G382">+INDEX('OUTCOME MODEL'!$O$10:$T$87,MATCH(Table1[[#This Row],[DRIVERS]]&amp;Table1[[#This Row],[DEMAND]],'OUTCOME MODEL'!$A$10:$A$87&amp;'OUTCOME MODEL'!$B$10:$B$87,0),MATCH(Table1[[#This Row],[CAPACITY]],'OUTCOME MODEL'!$O$9:$T$9))</f>
        <v>0.16666666666666666</v>
      </c>
    </row>
    <row r="383" spans="1:7" x14ac:dyDescent="0.35">
      <c r="A383" s="45">
        <v>6</v>
      </c>
      <c r="B383" s="22">
        <v>2</v>
      </c>
      <c r="C383">
        <v>3</v>
      </c>
      <c r="D383" s="46">
        <f t="array" ref="D383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83" s="58">
        <f t="array" ref="E383">+INDEX('OUTCOME MODEL'!$C$10:$H$87,MATCH(Table1[[#This Row],[DRIVERS]]&amp;Table1[[#This Row],[DEMAND]],'OUTCOME MODEL'!$A$10:$A$87&amp;'OUTCOME MODEL'!$B$10:$B$87,0),MATCH(Table1[[#This Row],[CAPACITY]],'OUTCOME MODEL'!$C$9:$H$9))</f>
        <v>0.15039054278513184</v>
      </c>
      <c r="F383" s="58">
        <f t="array" ref="F383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383" s="60">
        <f t="array" ref="G383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384" spans="1:7" x14ac:dyDescent="0.35">
      <c r="A384" s="45">
        <v>6</v>
      </c>
      <c r="B384" s="22">
        <v>3</v>
      </c>
      <c r="C384">
        <v>3</v>
      </c>
      <c r="D384" s="46">
        <f t="array" ref="D384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384" s="58">
        <f t="array" ref="E384">+INDEX('OUTCOME MODEL'!$C$10:$H$87,MATCH(Table1[[#This Row],[DRIVERS]]&amp;Table1[[#This Row],[DEMAND]],'OUTCOME MODEL'!$A$10:$A$87&amp;'OUTCOME MODEL'!$B$10:$B$87,0),MATCH(Table1[[#This Row],[CAPACITY]],'OUTCOME MODEL'!$C$9:$H$9))</f>
        <v>0.22430734443901418</v>
      </c>
      <c r="F384" s="58">
        <f t="array" ref="F384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384" s="60">
        <f t="array" ref="G384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385" spans="1:7" x14ac:dyDescent="0.35">
      <c r="A385" s="45">
        <v>6</v>
      </c>
      <c r="B385" s="22">
        <v>4</v>
      </c>
      <c r="C385">
        <v>3</v>
      </c>
      <c r="D385" s="46">
        <f t="array" ref="D385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385" s="58">
        <f t="array" ref="E385">+INDEX('OUTCOME MODEL'!$C$10:$H$87,MATCH(Table1[[#This Row],[DRIVERS]]&amp;Table1[[#This Row],[DEMAND]],'OUTCOME MODEL'!$A$10:$A$87&amp;'OUTCOME MODEL'!$B$10:$B$87,0),MATCH(Table1[[#This Row],[CAPACITY]],'OUTCOME MODEL'!$C$9:$H$9))</f>
        <v>0.29190038700035853</v>
      </c>
      <c r="F385" s="58">
        <f t="array" ref="F385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385" s="60">
        <f t="array" ref="G385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386" spans="1:7" x14ac:dyDescent="0.35">
      <c r="A386" s="45">
        <v>6</v>
      </c>
      <c r="B386" s="22">
        <v>5</v>
      </c>
      <c r="C386">
        <v>3</v>
      </c>
      <c r="D386" s="46">
        <f t="array" ref="D386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386" s="58">
        <f t="array" ref="E386">+INDEX('OUTCOME MODEL'!$C$10:$H$87,MATCH(Table1[[#This Row],[DRIVERS]]&amp;Table1[[#This Row],[DEMAND]],'OUTCOME MODEL'!$A$10:$A$87&amp;'OUTCOME MODEL'!$B$10:$B$87,0),MATCH(Table1[[#This Row],[CAPACITY]],'OUTCOME MODEL'!$C$9:$H$9))</f>
        <v>0.36258393017338353</v>
      </c>
      <c r="F386" s="58">
        <f t="array" ref="F386">+INDEX('OUTCOME MODEL'!$I$10:$N$87,MATCH(Table1[[#This Row],[DRIVERS]]&amp;Table1[[#This Row],[DEMAND]],'OUTCOME MODEL'!$A$10:$A$87&amp;'OUTCOME MODEL'!$B$10:$B$87,0),MATCH(Table1[[#This Row],[CAPACITY]],'OUTCOME MODEL'!$I$9:$N$9))</f>
        <v>0.995</v>
      </c>
      <c r="G386" s="60">
        <f t="array" ref="G386">+INDEX('OUTCOME MODEL'!$O$10:$T$87,MATCH(Table1[[#This Row],[DRIVERS]]&amp;Table1[[#This Row],[DEMAND]],'OUTCOME MODEL'!$A$10:$A$87&amp;'OUTCOME MODEL'!$B$10:$B$87,0),MATCH(Table1[[#This Row],[CAPACITY]],'OUTCOME MODEL'!$O$9:$T$9))</f>
        <v>0.83333333333333337</v>
      </c>
    </row>
    <row r="387" spans="1:7" x14ac:dyDescent="0.35">
      <c r="A387" s="45">
        <v>6</v>
      </c>
      <c r="B387" s="22">
        <v>6</v>
      </c>
      <c r="C387">
        <v>3</v>
      </c>
      <c r="D387" s="46">
        <f t="array" ref="D387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387" s="58">
        <f t="array" ref="E387">+INDEX('OUTCOME MODEL'!$C$10:$H$87,MATCH(Table1[[#This Row],[DRIVERS]]&amp;Table1[[#This Row],[DEMAND]],'OUTCOME MODEL'!$A$10:$A$87&amp;'OUTCOME MODEL'!$B$10:$B$87,0),MATCH(Table1[[#This Row],[CAPACITY]],'OUTCOME MODEL'!$C$9:$H$9))</f>
        <v>0.4299403539933418</v>
      </c>
      <c r="F387" s="58">
        <f t="array" ref="F387">+INDEX('OUTCOME MODEL'!$I$10:$N$87,MATCH(Table1[[#This Row],[DRIVERS]]&amp;Table1[[#This Row],[DEMAND]],'OUTCOME MODEL'!$A$10:$A$87&amp;'OUTCOME MODEL'!$B$10:$B$87,0),MATCH(Table1[[#This Row],[CAPACITY]],'OUTCOME MODEL'!$I$9:$N$9))</f>
        <v>0.99299999999999999</v>
      </c>
      <c r="G387" s="60">
        <f t="array" ref="G38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88" spans="1:7" x14ac:dyDescent="0.35">
      <c r="A388" s="45">
        <v>6</v>
      </c>
      <c r="B388" s="22">
        <v>7</v>
      </c>
      <c r="C388">
        <v>3</v>
      </c>
      <c r="D388" s="46">
        <f t="array" ref="D388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388" s="58">
        <f t="array" ref="E388">+INDEX('OUTCOME MODEL'!$C$10:$H$87,MATCH(Table1[[#This Row],[DRIVERS]]&amp;Table1[[#This Row],[DEMAND]],'OUTCOME MODEL'!$A$10:$A$87&amp;'OUTCOME MODEL'!$B$10:$B$87,0),MATCH(Table1[[#This Row],[CAPACITY]],'OUTCOME MODEL'!$C$9:$H$9))</f>
        <v>0.49498198681137201</v>
      </c>
      <c r="F388" s="58">
        <f t="array" ref="F388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388" s="60">
        <f t="array" ref="G388">+INDEX('OUTCOME MODEL'!$O$10:$T$87,MATCH(Table1[[#This Row],[DRIVERS]]&amp;Table1[[#This Row],[DEMAND]],'OUTCOME MODEL'!$A$10:$A$87&amp;'OUTCOME MODEL'!$B$10:$B$87,0),MATCH(Table1[[#This Row],[CAPACITY]],'OUTCOME MODEL'!$O$9:$T$9))</f>
        <v>1.1666666666666667</v>
      </c>
    </row>
    <row r="389" spans="1:7" x14ac:dyDescent="0.35">
      <c r="A389" s="45">
        <v>6</v>
      </c>
      <c r="B389" s="22">
        <v>8</v>
      </c>
      <c r="C389">
        <v>3</v>
      </c>
      <c r="D389" s="46">
        <f t="array" ref="D389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389" s="58">
        <f t="array" ref="E389">+INDEX('OUTCOME MODEL'!$C$10:$H$87,MATCH(Table1[[#This Row],[DRIVERS]]&amp;Table1[[#This Row],[DEMAND]],'OUTCOME MODEL'!$A$10:$A$87&amp;'OUTCOME MODEL'!$B$10:$B$87,0),MATCH(Table1[[#This Row],[CAPACITY]],'OUTCOME MODEL'!$C$9:$H$9))</f>
        <v>0.55471830849033765</v>
      </c>
      <c r="F389" s="58">
        <f t="array" ref="F389">+INDEX('OUTCOME MODEL'!$I$10:$N$87,MATCH(Table1[[#This Row],[DRIVERS]]&amp;Table1[[#This Row],[DEMAND]],'OUTCOME MODEL'!$A$10:$A$87&amp;'OUTCOME MODEL'!$B$10:$B$87,0),MATCH(Table1[[#This Row],[CAPACITY]],'OUTCOME MODEL'!$I$9:$N$9))</f>
        <v>0.99</v>
      </c>
      <c r="G389" s="60">
        <f t="array" ref="G389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390" spans="1:7" x14ac:dyDescent="0.35">
      <c r="A390" s="45">
        <v>6</v>
      </c>
      <c r="B390" s="22">
        <v>9</v>
      </c>
      <c r="C390">
        <v>3</v>
      </c>
      <c r="D390" s="46">
        <f t="array" ref="D390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390" s="58">
        <f t="array" ref="E390">+INDEX('OUTCOME MODEL'!$C$10:$H$87,MATCH(Table1[[#This Row],[DRIVERS]]&amp;Table1[[#This Row],[DEMAND]],'OUTCOME MODEL'!$A$10:$A$87&amp;'OUTCOME MODEL'!$B$10:$B$87,0),MATCH(Table1[[#This Row],[CAPACITY]],'OUTCOME MODEL'!$C$9:$H$9))</f>
        <v>0.60758408018359888</v>
      </c>
      <c r="F390" s="58">
        <f t="array" ref="F390">+INDEX('OUTCOME MODEL'!$I$10:$N$87,MATCH(Table1[[#This Row],[DRIVERS]]&amp;Table1[[#This Row],[DEMAND]],'OUTCOME MODEL'!$A$10:$A$87&amp;'OUTCOME MODEL'!$B$10:$B$87,0),MATCH(Table1[[#This Row],[CAPACITY]],'OUTCOME MODEL'!$I$9:$N$9))</f>
        <v>0.98899999999999999</v>
      </c>
      <c r="G390" s="60">
        <f t="array" ref="G390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391" spans="1:7" x14ac:dyDescent="0.35">
      <c r="A391" s="45">
        <v>6</v>
      </c>
      <c r="B391" s="22">
        <v>10</v>
      </c>
      <c r="C391">
        <v>3</v>
      </c>
      <c r="D391" s="46">
        <f t="array" ref="D391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391" s="58">
        <f t="array" ref="E391">+INDEX('OUTCOME MODEL'!$C$10:$H$87,MATCH(Table1[[#This Row],[DRIVERS]]&amp;Table1[[#This Row],[DEMAND]],'OUTCOME MODEL'!$A$10:$A$87&amp;'OUTCOME MODEL'!$B$10:$B$87,0),MATCH(Table1[[#This Row],[CAPACITY]],'OUTCOME MODEL'!$C$9:$H$9))</f>
        <v>0.66237277966856611</v>
      </c>
      <c r="F391" s="58">
        <f t="array" ref="F391">+INDEX('OUTCOME MODEL'!$I$10:$N$87,MATCH(Table1[[#This Row],[DRIVERS]]&amp;Table1[[#This Row],[DEMAND]],'OUTCOME MODEL'!$A$10:$A$87&amp;'OUTCOME MODEL'!$B$10:$B$87,0),MATCH(Table1[[#This Row],[CAPACITY]],'OUTCOME MODEL'!$I$9:$N$9))</f>
        <v>0.97699999999999998</v>
      </c>
      <c r="G391" s="60">
        <f t="array" ref="G391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392" spans="1:7" x14ac:dyDescent="0.35">
      <c r="A392" s="45">
        <v>6</v>
      </c>
      <c r="B392" s="22">
        <v>11</v>
      </c>
      <c r="C392">
        <v>3</v>
      </c>
      <c r="D392" s="46">
        <f t="array" ref="D392">+INDEX('OUTCOME MODEL'!$U$10:$Z$87,MATCH(Table1[[#This Row],[DRIVERS]]&amp;Table1[[#This Row],[DEMAND]],'OUTCOME MODEL'!$A$10:$A$87&amp;'OUTCOME MODEL'!$B$10:$B$87,0),MATCH(Table1[[#This Row],[CAPACITY]],'OUTCOME MODEL'!$U$9:$Z$9))</f>
        <v>96.25</v>
      </c>
      <c r="E392" s="58">
        <f t="array" ref="E392">+INDEX('OUTCOME MODEL'!$C$10:$H$87,MATCH(Table1[[#This Row],[DRIVERS]]&amp;Table1[[#This Row],[DEMAND]],'OUTCOME MODEL'!$A$10:$A$87&amp;'OUTCOME MODEL'!$B$10:$B$87,0),MATCH(Table1[[#This Row],[CAPACITY]],'OUTCOME MODEL'!$C$9:$H$9))</f>
        <v>0.70027518539600497</v>
      </c>
      <c r="F392" s="58">
        <f t="array" ref="F392">+INDEX('OUTCOME MODEL'!$I$10:$N$87,MATCH(Table1[[#This Row],[DRIVERS]]&amp;Table1[[#This Row],[DEMAND]],'OUTCOME MODEL'!$A$10:$A$87&amp;'OUTCOME MODEL'!$B$10:$B$87,0),MATCH(Table1[[#This Row],[CAPACITY]],'OUTCOME MODEL'!$I$9:$N$9))</f>
        <v>0.97199999999999998</v>
      </c>
      <c r="G392" s="60">
        <f t="array" ref="G392">+INDEX('OUTCOME MODEL'!$O$10:$T$87,MATCH(Table1[[#This Row],[DRIVERS]]&amp;Table1[[#This Row],[DEMAND]],'OUTCOME MODEL'!$A$10:$A$87&amp;'OUTCOME MODEL'!$B$10:$B$87,0),MATCH(Table1[[#This Row],[CAPACITY]],'OUTCOME MODEL'!$O$9:$T$9))</f>
        <v>1.8333333333333333</v>
      </c>
    </row>
    <row r="393" spans="1:7" x14ac:dyDescent="0.35">
      <c r="A393" s="45">
        <v>6</v>
      </c>
      <c r="B393" s="22">
        <v>12</v>
      </c>
      <c r="C393">
        <v>3</v>
      </c>
      <c r="D393" s="46">
        <f t="array" ref="D393">+INDEX('OUTCOME MODEL'!$U$10:$Z$87,MATCH(Table1[[#This Row],[DRIVERS]]&amp;Table1[[#This Row],[DEMAND]],'OUTCOME MODEL'!$A$10:$A$87&amp;'OUTCOME MODEL'!$B$10:$B$87,0),MATCH(Table1[[#This Row],[CAPACITY]],'OUTCOME MODEL'!$U$9:$Z$9))</f>
        <v>105</v>
      </c>
      <c r="E393" s="58">
        <f t="array" ref="E393">+INDEX('OUTCOME MODEL'!$C$10:$H$87,MATCH(Table1[[#This Row],[DRIVERS]]&amp;Table1[[#This Row],[DEMAND]],'OUTCOME MODEL'!$A$10:$A$87&amp;'OUTCOME MODEL'!$B$10:$B$87,0),MATCH(Table1[[#This Row],[CAPACITY]],'OUTCOME MODEL'!$C$9:$H$9))</f>
        <v>0.74845103540661795</v>
      </c>
      <c r="F393" s="58">
        <f t="array" ref="F393">+INDEX('OUTCOME MODEL'!$I$10:$N$87,MATCH(Table1[[#This Row],[DRIVERS]]&amp;Table1[[#This Row],[DEMAND]],'OUTCOME MODEL'!$A$10:$A$87&amp;'OUTCOME MODEL'!$B$10:$B$87,0),MATCH(Table1[[#This Row],[CAPACITY]],'OUTCOME MODEL'!$I$9:$N$9))</f>
        <v>0.95099999999999996</v>
      </c>
      <c r="G393" s="60">
        <f t="array" ref="G393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94" spans="1:7" x14ac:dyDescent="0.35">
      <c r="A394" s="48">
        <v>1</v>
      </c>
      <c r="B394" s="49">
        <v>0</v>
      </c>
      <c r="C394">
        <v>3.5</v>
      </c>
      <c r="D394" s="46">
        <f t="array" ref="D394">+INDEX('OUTCOME MODEL'!$U$10:$Z$87,MATCH(Table1[[#This Row],[DRIVERS]]&amp;Table1[[#This Row],[DEMAND]],'OUTCOME MODEL'!$A$10:$A$87&amp;'OUTCOME MODEL'!$B$10:$B$87,0),MATCH(Table1[[#This Row],[CAPACITY]],'OUTCOME MODEL'!$U$9:$Z$9))</f>
        <v>0</v>
      </c>
      <c r="E394" s="58">
        <f t="array" ref="E394">+INDEX('OUTCOME MODEL'!$C$10:$H$87,MATCH(Table1[[#This Row],[DRIVERS]]&amp;Table1[[#This Row],[DEMAND]],'OUTCOME MODEL'!$A$10:$A$87&amp;'OUTCOME MODEL'!$B$10:$B$87,0),MATCH(Table1[[#This Row],[CAPACITY]],'OUTCOME MODEL'!$C$9:$H$9))</f>
        <v>0</v>
      </c>
      <c r="F394" s="58">
        <f t="array" ref="F394">+INDEX('OUTCOME MODEL'!$I$10:$N$87,MATCH(Table1[[#This Row],[DRIVERS]]&amp;Table1[[#This Row],[DEMAND]],'OUTCOME MODEL'!$A$10:$A$87&amp;'OUTCOME MODEL'!$B$10:$B$87,0),MATCH(Table1[[#This Row],[CAPACITY]],'OUTCOME MODEL'!$I$9:$N$9))</f>
        <v>0</v>
      </c>
      <c r="G394" s="60">
        <f t="array" ref="G394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395" spans="1:7" x14ac:dyDescent="0.35">
      <c r="A395" s="45">
        <v>1</v>
      </c>
      <c r="B395" s="22">
        <v>1</v>
      </c>
      <c r="C395">
        <v>3.5</v>
      </c>
      <c r="D395" s="46">
        <f t="array" ref="D395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395" s="58">
        <f t="array" ref="E395">+INDEX('OUTCOME MODEL'!$C$10:$H$87,MATCH(Table1[[#This Row],[DRIVERS]]&amp;Table1[[#This Row],[DEMAND]],'OUTCOME MODEL'!$A$10:$A$87&amp;'OUTCOME MODEL'!$B$10:$B$87,0),MATCH(Table1[[#This Row],[CAPACITY]],'OUTCOME MODEL'!$C$9:$H$9))</f>
        <v>0.36522103156045677</v>
      </c>
      <c r="F395" s="58">
        <f t="array" ref="F395">+INDEX('OUTCOME MODEL'!$I$10:$N$87,MATCH(Table1[[#This Row],[DRIVERS]]&amp;Table1[[#This Row],[DEMAND]],'OUTCOME MODEL'!$A$10:$A$87&amp;'OUTCOME MODEL'!$B$10:$B$87,0),MATCH(Table1[[#This Row],[CAPACITY]],'OUTCOME MODEL'!$I$9:$N$9))</f>
        <v>0.92200000000000004</v>
      </c>
      <c r="G395" s="60">
        <f t="array" ref="G39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396" spans="1:7" x14ac:dyDescent="0.35">
      <c r="A396" s="45">
        <v>1</v>
      </c>
      <c r="B396" s="22">
        <v>2</v>
      </c>
      <c r="C396">
        <v>3.5</v>
      </c>
      <c r="D396" s="46">
        <f t="array" ref="D396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396" s="58">
        <f t="array" ref="E396">+INDEX('OUTCOME MODEL'!$C$10:$H$87,MATCH(Table1[[#This Row],[DRIVERS]]&amp;Table1[[#This Row],[DEMAND]],'OUTCOME MODEL'!$A$10:$A$87&amp;'OUTCOME MODEL'!$B$10:$B$87,0),MATCH(Table1[[#This Row],[CAPACITY]],'OUTCOME MODEL'!$C$9:$H$9))</f>
        <v>0.63340981272633712</v>
      </c>
      <c r="F396" s="58">
        <f t="array" ref="F396">+INDEX('OUTCOME MODEL'!$I$10:$N$87,MATCH(Table1[[#This Row],[DRIVERS]]&amp;Table1[[#This Row],[DEMAND]],'OUTCOME MODEL'!$A$10:$A$87&amp;'OUTCOME MODEL'!$B$10:$B$87,0),MATCH(Table1[[#This Row],[CAPACITY]],'OUTCOME MODEL'!$I$9:$N$9))</f>
        <v>0.78300000000000003</v>
      </c>
      <c r="G396" s="60">
        <f t="array" ref="G396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397" spans="1:7" x14ac:dyDescent="0.35">
      <c r="A397" s="45">
        <v>1</v>
      </c>
      <c r="B397" s="22">
        <v>3</v>
      </c>
      <c r="C397">
        <v>3.5</v>
      </c>
      <c r="D397" s="46">
        <f t="array" ref="D397">+INDEX('OUTCOME MODEL'!$U$10:$Z$87,MATCH(Table1[[#This Row],[DRIVERS]]&amp;Table1[[#This Row],[DEMAND]],'OUTCOME MODEL'!$A$10:$A$87&amp;'OUTCOME MODEL'!$B$10:$B$87,0),MATCH(Table1[[#This Row],[CAPACITY]],'OUTCOME MODEL'!$U$9:$Z$9))</f>
        <v>24.285937749800535</v>
      </c>
      <c r="E397" s="58">
        <f t="array" ref="E397">+INDEX('OUTCOME MODEL'!$C$10:$H$87,MATCH(Table1[[#This Row],[DRIVERS]]&amp;Table1[[#This Row],[DEMAND]],'OUTCOME MODEL'!$A$10:$A$87&amp;'OUTCOME MODEL'!$B$10:$B$87,0),MATCH(Table1[[#This Row],[CAPACITY]],'OUTCOME MODEL'!$C$9:$H$9))</f>
        <v>0.79301021223838486</v>
      </c>
      <c r="F397" s="58">
        <f t="array" ref="F397">+INDEX('OUTCOME MODEL'!$I$10:$N$87,MATCH(Table1[[#This Row],[DRIVERS]]&amp;Table1[[#This Row],[DEMAND]],'OUTCOME MODEL'!$A$10:$A$87&amp;'OUTCOME MODEL'!$B$10:$B$87,0),MATCH(Table1[[#This Row],[CAPACITY]],'OUTCOME MODEL'!$I$9:$N$9))</f>
        <v>0.65100000000000002</v>
      </c>
      <c r="G397" s="60">
        <f t="array" ref="G397">+INDEX('OUTCOME MODEL'!$O$10:$T$87,MATCH(Table1[[#This Row],[DRIVERS]]&amp;Table1[[#This Row],[DEMAND]],'OUTCOME MODEL'!$A$10:$A$87&amp;'OUTCOME MODEL'!$B$10:$B$87,0),MATCH(Table1[[#This Row],[CAPACITY]],'OUTCOME MODEL'!$O$9:$T$9))</f>
        <v>2.775535742834347</v>
      </c>
    </row>
    <row r="398" spans="1:7" x14ac:dyDescent="0.35">
      <c r="A398" s="45">
        <v>1</v>
      </c>
      <c r="B398" s="22">
        <v>4</v>
      </c>
      <c r="C398">
        <v>3.5</v>
      </c>
      <c r="D398" s="46">
        <f t="array" ref="D398">+INDEX('OUTCOME MODEL'!$U$10:$Z$87,MATCH(Table1[[#This Row],[DRIVERS]]&amp;Table1[[#This Row],[DEMAND]],'OUTCOME MODEL'!$A$10:$A$87&amp;'OUTCOME MODEL'!$B$10:$B$87,0),MATCH(Table1[[#This Row],[CAPACITY]],'OUTCOME MODEL'!$U$9:$Z$9))</f>
        <v>27.236592235617863</v>
      </c>
      <c r="E398" s="58">
        <f t="array" ref="E398">+INDEX('OUTCOME MODEL'!$C$10:$H$87,MATCH(Table1[[#This Row],[DRIVERS]]&amp;Table1[[#This Row],[DEMAND]],'OUTCOME MODEL'!$A$10:$A$87&amp;'OUTCOME MODEL'!$B$10:$B$87,0),MATCH(Table1[[#This Row],[CAPACITY]],'OUTCOME MODEL'!$C$9:$H$9))</f>
        <v>0.88935811381609364</v>
      </c>
      <c r="F398" s="58">
        <f t="array" ref="F398">+INDEX('OUTCOME MODEL'!$I$10:$N$87,MATCH(Table1[[#This Row],[DRIVERS]]&amp;Table1[[#This Row],[DEMAND]],'OUTCOME MODEL'!$A$10:$A$87&amp;'OUTCOME MODEL'!$B$10:$B$87,0),MATCH(Table1[[#This Row],[CAPACITY]],'OUTCOME MODEL'!$I$9:$N$9))</f>
        <v>0.56999999999999995</v>
      </c>
      <c r="G398" s="60">
        <f t="array" ref="G398">+INDEX('OUTCOME MODEL'!$O$10:$T$87,MATCH(Table1[[#This Row],[DRIVERS]]&amp;Table1[[#This Row],[DEMAND]],'OUTCOME MODEL'!$A$10:$A$87&amp;'OUTCOME MODEL'!$B$10:$B$87,0),MATCH(Table1[[#This Row],[CAPACITY]],'OUTCOME MODEL'!$O$9:$T$9))</f>
        <v>3.1127533983563276</v>
      </c>
    </row>
    <row r="399" spans="1:7" x14ac:dyDescent="0.35">
      <c r="A399" s="45">
        <v>1</v>
      </c>
      <c r="B399" s="22">
        <v>5</v>
      </c>
      <c r="C399">
        <v>3.5</v>
      </c>
      <c r="D399" s="46">
        <f t="array" ref="D399">+INDEX('OUTCOME MODEL'!$U$10:$Z$87,MATCH(Table1[[#This Row],[DRIVERS]]&amp;Table1[[#This Row],[DEMAND]],'OUTCOME MODEL'!$A$10:$A$87&amp;'OUTCOME MODEL'!$B$10:$B$87,0),MATCH(Table1[[#This Row],[CAPACITY]],'OUTCOME MODEL'!$U$9:$Z$9))</f>
        <v>29.117694902974812</v>
      </c>
      <c r="E399" s="58">
        <f t="array" ref="E399">+INDEX('OUTCOME MODEL'!$C$10:$H$87,MATCH(Table1[[#This Row],[DRIVERS]]&amp;Table1[[#This Row],[DEMAND]],'OUTCOME MODEL'!$A$10:$A$87&amp;'OUTCOME MODEL'!$B$10:$B$87,0),MATCH(Table1[[#This Row],[CAPACITY]],'OUTCOME MODEL'!$C$9:$H$9))</f>
        <v>0.950781874382851</v>
      </c>
      <c r="F399" s="58">
        <f t="array" ref="F399">+INDEX('OUTCOME MODEL'!$I$10:$N$87,MATCH(Table1[[#This Row],[DRIVERS]]&amp;Table1[[#This Row],[DEMAND]],'OUTCOME MODEL'!$A$10:$A$87&amp;'OUTCOME MODEL'!$B$10:$B$87,0),MATCH(Table1[[#This Row],[CAPACITY]],'OUTCOME MODEL'!$I$9:$N$9))</f>
        <v>0.441</v>
      </c>
      <c r="G399" s="60">
        <f t="array" ref="G399">+INDEX('OUTCOME MODEL'!$O$10:$T$87,MATCH(Table1[[#This Row],[DRIVERS]]&amp;Table1[[#This Row],[DEMAND]],'OUTCOME MODEL'!$A$10:$A$87&amp;'OUTCOME MODEL'!$B$10:$B$87,0),MATCH(Table1[[#This Row],[CAPACITY]],'OUTCOME MODEL'!$O$9:$T$9))</f>
        <v>3.3277365603399787</v>
      </c>
    </row>
    <row r="400" spans="1:7" x14ac:dyDescent="0.35">
      <c r="A400" s="45">
        <v>1</v>
      </c>
      <c r="B400" s="22">
        <v>6</v>
      </c>
      <c r="C400">
        <v>3.5</v>
      </c>
      <c r="D400" s="46">
        <f t="array" ref="D400">+INDEX('OUTCOME MODEL'!$U$10:$Z$87,MATCH(Table1[[#This Row],[DRIVERS]]&amp;Table1[[#This Row],[DEMAND]],'OUTCOME MODEL'!$A$10:$A$87&amp;'OUTCOME MODEL'!$B$10:$B$87,0),MATCH(Table1[[#This Row],[CAPACITY]],'OUTCOME MODEL'!$U$9:$Z$9))</f>
        <v>30.038024619964169</v>
      </c>
      <c r="E400" s="58">
        <f t="array" ref="E400">+INDEX('OUTCOME MODEL'!$C$10:$H$87,MATCH(Table1[[#This Row],[DRIVERS]]&amp;Table1[[#This Row],[DEMAND]],'OUTCOME MODEL'!$A$10:$A$87&amp;'OUTCOME MODEL'!$B$10:$B$87,0),MATCH(Table1[[#This Row],[CAPACITY]],'OUTCOME MODEL'!$C$9:$H$9))</f>
        <v>0.98083345697842184</v>
      </c>
      <c r="F400" s="58">
        <f t="array" ref="F400">+INDEX('OUTCOME MODEL'!$I$10:$N$87,MATCH(Table1[[#This Row],[DRIVERS]]&amp;Table1[[#This Row],[DEMAND]],'OUTCOME MODEL'!$A$10:$A$87&amp;'OUTCOME MODEL'!$B$10:$B$87,0),MATCH(Table1[[#This Row],[CAPACITY]],'OUTCOME MODEL'!$I$9:$N$9))</f>
        <v>0.42399999999999999</v>
      </c>
      <c r="G400" s="60">
        <f t="array" ref="G400">+INDEX('OUTCOME MODEL'!$O$10:$T$87,MATCH(Table1[[#This Row],[DRIVERS]]&amp;Table1[[#This Row],[DEMAND]],'OUTCOME MODEL'!$A$10:$A$87&amp;'OUTCOME MODEL'!$B$10:$B$87,0),MATCH(Table1[[#This Row],[CAPACITY]],'OUTCOME MODEL'!$O$9:$T$9))</f>
        <v>3.4329170994244764</v>
      </c>
    </row>
    <row r="401" spans="1:7" x14ac:dyDescent="0.35">
      <c r="A401" s="45">
        <v>1</v>
      </c>
      <c r="B401" s="22">
        <v>7</v>
      </c>
      <c r="C401">
        <v>3.5</v>
      </c>
      <c r="D401" s="46">
        <f t="array" ref="D401">+INDEX('OUTCOME MODEL'!$U$10:$Z$87,MATCH(Table1[[#This Row],[DRIVERS]]&amp;Table1[[#This Row],[DEMAND]],'OUTCOME MODEL'!$A$10:$A$87&amp;'OUTCOME MODEL'!$B$10:$B$87,0),MATCH(Table1[[#This Row],[CAPACITY]],'OUTCOME MODEL'!$U$9:$Z$9))</f>
        <v>30.601689707138775</v>
      </c>
      <c r="E401" s="58">
        <f t="array" ref="E401">+INDEX('OUTCOME MODEL'!$C$10:$H$87,MATCH(Table1[[#This Row],[DRIVERS]]&amp;Table1[[#This Row],[DEMAND]],'OUTCOME MODEL'!$A$10:$A$87&amp;'OUTCOME MODEL'!$B$10:$B$87,0),MATCH(Table1[[#This Row],[CAPACITY]],'OUTCOME MODEL'!$C$9:$H$9))</f>
        <v>0.99923884758004167</v>
      </c>
      <c r="F401" s="58">
        <f t="array" ref="F401">+INDEX('OUTCOME MODEL'!$I$10:$N$87,MATCH(Table1[[#This Row],[DRIVERS]]&amp;Table1[[#This Row],[DEMAND]],'OUTCOME MODEL'!$A$10:$A$87&amp;'OUTCOME MODEL'!$B$10:$B$87,0),MATCH(Table1[[#This Row],[CAPACITY]],'OUTCOME MODEL'!$I$9:$N$9))</f>
        <v>0.35799999999999998</v>
      </c>
      <c r="G401" s="60">
        <f t="array" ref="G401">+INDEX('OUTCOME MODEL'!$O$10:$T$87,MATCH(Table1[[#This Row],[DRIVERS]]&amp;Table1[[#This Row],[DEMAND]],'OUTCOME MODEL'!$A$10:$A$87&amp;'OUTCOME MODEL'!$B$10:$B$87,0),MATCH(Table1[[#This Row],[CAPACITY]],'OUTCOME MODEL'!$O$9:$T$9))</f>
        <v>3.4973359665301458</v>
      </c>
    </row>
    <row r="402" spans="1:7" x14ac:dyDescent="0.35">
      <c r="A402" s="45">
        <v>1</v>
      </c>
      <c r="B402" s="22">
        <v>8</v>
      </c>
      <c r="C402">
        <v>3.5</v>
      </c>
      <c r="D402" s="46">
        <f t="array" ref="D402">+INDEX('OUTCOME MODEL'!$U$10:$Z$87,MATCH(Table1[[#This Row],[DRIVERS]]&amp;Table1[[#This Row],[DEMAND]],'OUTCOME MODEL'!$A$10:$A$87&amp;'OUTCOME MODEL'!$B$10:$B$87,0),MATCH(Table1[[#This Row],[CAPACITY]],'OUTCOME MODEL'!$U$9:$Z$9))</f>
        <v>31.224143271851535</v>
      </c>
      <c r="E402" s="58">
        <f t="array" ref="E402">+INDEX('OUTCOME MODEL'!$C$10:$H$87,MATCH(Table1[[#This Row],[DRIVERS]]&amp;Table1[[#This Row],[DEMAND]],'OUTCOME MODEL'!$A$10:$A$87&amp;'OUTCOME MODEL'!$B$10:$B$87,0),MATCH(Table1[[#This Row],[CAPACITY]],'OUTCOME MODEL'!$C$9:$H$9))</f>
        <v>1.0195638619380094</v>
      </c>
      <c r="F402" s="58">
        <f t="array" ref="F402">+INDEX('OUTCOME MODEL'!$I$10:$N$87,MATCH(Table1[[#This Row],[DRIVERS]]&amp;Table1[[#This Row],[DEMAND]],'OUTCOME MODEL'!$A$10:$A$87&amp;'OUTCOME MODEL'!$B$10:$B$87,0),MATCH(Table1[[#This Row],[CAPACITY]],'OUTCOME MODEL'!$I$9:$N$9))</f>
        <v>0.312</v>
      </c>
      <c r="G402" s="60">
        <f t="array" ref="G402">+INDEX('OUTCOME MODEL'!$O$10:$T$87,MATCH(Table1[[#This Row],[DRIVERS]]&amp;Table1[[#This Row],[DEMAND]],'OUTCOME MODEL'!$A$10:$A$87&amp;'OUTCOME MODEL'!$B$10:$B$87,0),MATCH(Table1[[#This Row],[CAPACITY]],'OUTCOME MODEL'!$O$9:$T$9))</f>
        <v>3.5684735167830328</v>
      </c>
    </row>
    <row r="403" spans="1:7" x14ac:dyDescent="0.35">
      <c r="A403" s="45">
        <v>1</v>
      </c>
      <c r="B403" s="22">
        <v>9</v>
      </c>
      <c r="C403">
        <v>3.5</v>
      </c>
      <c r="D403" s="46">
        <f t="array" ref="D403">+INDEX('OUTCOME MODEL'!$U$10:$Z$87,MATCH(Table1[[#This Row],[DRIVERS]]&amp;Table1[[#This Row],[DEMAND]],'OUTCOME MODEL'!$A$10:$A$87&amp;'OUTCOME MODEL'!$B$10:$B$87,0),MATCH(Table1[[#This Row],[CAPACITY]],'OUTCOME MODEL'!$U$9:$Z$9))</f>
        <v>31.595628780857755</v>
      </c>
      <c r="E403" s="58">
        <f t="array" ref="E403">+INDEX('OUTCOME MODEL'!$C$10:$H$87,MATCH(Table1[[#This Row],[DRIVERS]]&amp;Table1[[#This Row],[DEMAND]],'OUTCOME MODEL'!$A$10:$A$87&amp;'OUTCOME MODEL'!$B$10:$B$87,0),MATCH(Table1[[#This Row],[CAPACITY]],'OUTCOME MODEL'!$C$9:$H$9))</f>
        <v>1.0316940010076001</v>
      </c>
      <c r="F403" s="58">
        <f t="array" ref="F403">+INDEX('OUTCOME MODEL'!$I$10:$N$87,MATCH(Table1[[#This Row],[DRIVERS]]&amp;Table1[[#This Row],[DEMAND]],'OUTCOME MODEL'!$A$10:$A$87&amp;'OUTCOME MODEL'!$B$10:$B$87,0),MATCH(Table1[[#This Row],[CAPACITY]],'OUTCOME MODEL'!$I$9:$N$9))</f>
        <v>0.28399999999999997</v>
      </c>
      <c r="G403" s="60">
        <f t="array" ref="G403">+INDEX('OUTCOME MODEL'!$O$10:$T$87,MATCH(Table1[[#This Row],[DRIVERS]]&amp;Table1[[#This Row],[DEMAND]],'OUTCOME MODEL'!$A$10:$A$87&amp;'OUTCOME MODEL'!$B$10:$B$87,0),MATCH(Table1[[#This Row],[CAPACITY]],'OUTCOME MODEL'!$O$9:$T$9))</f>
        <v>3.6109290035266004</v>
      </c>
    </row>
    <row r="404" spans="1:7" x14ac:dyDescent="0.35">
      <c r="A404" s="45">
        <v>1</v>
      </c>
      <c r="B404" s="22">
        <v>10</v>
      </c>
      <c r="C404">
        <v>3.5</v>
      </c>
      <c r="D404" s="46">
        <f t="array" ref="D404">+INDEX('OUTCOME MODEL'!$U$10:$Z$87,MATCH(Table1[[#This Row],[DRIVERS]]&amp;Table1[[#This Row],[DEMAND]],'OUTCOME MODEL'!$A$10:$A$87&amp;'OUTCOME MODEL'!$B$10:$B$87,0),MATCH(Table1[[#This Row],[CAPACITY]],'OUTCOME MODEL'!$U$9:$Z$9))</f>
        <v>31.76711187552683</v>
      </c>
      <c r="E404" s="58">
        <f t="array" ref="E404">+INDEX('OUTCOME MODEL'!$C$10:$H$87,MATCH(Table1[[#This Row],[DRIVERS]]&amp;Table1[[#This Row],[DEMAND]],'OUTCOME MODEL'!$A$10:$A$87&amp;'OUTCOME MODEL'!$B$10:$B$87,0),MATCH(Table1[[#This Row],[CAPACITY]],'OUTCOME MODEL'!$C$9:$H$9))</f>
        <v>1.0372934489967944</v>
      </c>
      <c r="F404" s="58">
        <f t="array" ref="F404">+INDEX('OUTCOME MODEL'!$I$10:$N$87,MATCH(Table1[[#This Row],[DRIVERS]]&amp;Table1[[#This Row],[DEMAND]],'OUTCOME MODEL'!$A$10:$A$87&amp;'OUTCOME MODEL'!$B$10:$B$87,0),MATCH(Table1[[#This Row],[CAPACITY]],'OUTCOME MODEL'!$I$9:$N$9))</f>
        <v>0.251</v>
      </c>
      <c r="G404" s="60">
        <f t="array" ref="G404">+INDEX('OUTCOME MODEL'!$O$10:$T$87,MATCH(Table1[[#This Row],[DRIVERS]]&amp;Table1[[#This Row],[DEMAND]],'OUTCOME MODEL'!$A$10:$A$87&amp;'OUTCOME MODEL'!$B$10:$B$87,0),MATCH(Table1[[#This Row],[CAPACITY]],'OUTCOME MODEL'!$O$9:$T$9))</f>
        <v>3.6305270714887805</v>
      </c>
    </row>
    <row r="405" spans="1:7" x14ac:dyDescent="0.35">
      <c r="A405" s="45">
        <v>1</v>
      </c>
      <c r="B405" s="22">
        <v>11</v>
      </c>
      <c r="C405">
        <v>3.5</v>
      </c>
      <c r="D405" s="46">
        <f t="array" ref="D405">+INDEX('OUTCOME MODEL'!$U$10:$Z$87,MATCH(Table1[[#This Row],[DRIVERS]]&amp;Table1[[#This Row],[DEMAND]],'OUTCOME MODEL'!$A$10:$A$87&amp;'OUTCOME MODEL'!$B$10:$B$87,0),MATCH(Table1[[#This Row],[CAPACITY]],'OUTCOME MODEL'!$U$9:$Z$9))</f>
        <v>32.151645549975228</v>
      </c>
      <c r="E405" s="58">
        <f t="array" ref="E405">+INDEX('OUTCOME MODEL'!$C$10:$H$87,MATCH(Table1[[#This Row],[DRIVERS]]&amp;Table1[[#This Row],[DEMAND]],'OUTCOME MODEL'!$A$10:$A$87&amp;'OUTCOME MODEL'!$B$10:$B$87,0),MATCH(Table1[[#This Row],[CAPACITY]],'OUTCOME MODEL'!$C$9:$H$9))</f>
        <v>1.0498496506114359</v>
      </c>
      <c r="F405" s="58">
        <f t="array" ref="F405">+INDEX('OUTCOME MODEL'!$I$10:$N$87,MATCH(Table1[[#This Row],[DRIVERS]]&amp;Table1[[#This Row],[DEMAND]],'OUTCOME MODEL'!$A$10:$A$87&amp;'OUTCOME MODEL'!$B$10:$B$87,0),MATCH(Table1[[#This Row],[CAPACITY]],'OUTCOME MODEL'!$I$9:$N$9))</f>
        <v>0.20599999999999999</v>
      </c>
      <c r="G405" s="60">
        <f t="array" ref="G405">+INDEX('OUTCOME MODEL'!$O$10:$T$87,MATCH(Table1[[#This Row],[DRIVERS]]&amp;Table1[[#This Row],[DEMAND]],'OUTCOME MODEL'!$A$10:$A$87&amp;'OUTCOME MODEL'!$B$10:$B$87,0),MATCH(Table1[[#This Row],[CAPACITY]],'OUTCOME MODEL'!$O$9:$T$9))</f>
        <v>3.6744737771400255</v>
      </c>
    </row>
    <row r="406" spans="1:7" x14ac:dyDescent="0.35">
      <c r="A406" s="45">
        <v>1</v>
      </c>
      <c r="B406" s="22">
        <v>12</v>
      </c>
      <c r="C406">
        <v>3.5</v>
      </c>
      <c r="D406" s="46">
        <f t="array" ref="D406">+INDEX('OUTCOME MODEL'!$U$10:$Z$87,MATCH(Table1[[#This Row],[DRIVERS]]&amp;Table1[[#This Row],[DEMAND]],'OUTCOME MODEL'!$A$10:$A$87&amp;'OUTCOME MODEL'!$B$10:$B$87,0),MATCH(Table1[[#This Row],[CAPACITY]],'OUTCOME MODEL'!$U$9:$Z$9))</f>
        <v>32.259413881706436</v>
      </c>
      <c r="E406" s="58">
        <f t="array" ref="E406">+INDEX('OUTCOME MODEL'!$C$10:$H$87,MATCH(Table1[[#This Row],[DRIVERS]]&amp;Table1[[#This Row],[DEMAND]],'OUTCOME MODEL'!$A$10:$A$87&amp;'OUTCOME MODEL'!$B$10:$B$87,0),MATCH(Table1[[#This Row],[CAPACITY]],'OUTCOME MODEL'!$C$9:$H$9))</f>
        <v>1.0533686165455163</v>
      </c>
      <c r="F406" s="58">
        <f t="array" ref="F406">+INDEX('OUTCOME MODEL'!$I$10:$N$87,MATCH(Table1[[#This Row],[DRIVERS]]&amp;Table1[[#This Row],[DEMAND]],'OUTCOME MODEL'!$A$10:$A$87&amp;'OUTCOME MODEL'!$B$10:$B$87,0),MATCH(Table1[[#This Row],[CAPACITY]],'OUTCOME MODEL'!$I$9:$N$9))</f>
        <v>0.217</v>
      </c>
      <c r="G406" s="60">
        <f t="array" ref="G406">+INDEX('OUTCOME MODEL'!$O$10:$T$87,MATCH(Table1[[#This Row],[DRIVERS]]&amp;Table1[[#This Row],[DEMAND]],'OUTCOME MODEL'!$A$10:$A$87&amp;'OUTCOME MODEL'!$B$10:$B$87,0),MATCH(Table1[[#This Row],[CAPACITY]],'OUTCOME MODEL'!$O$9:$T$9))</f>
        <v>3.6867901579093072</v>
      </c>
    </row>
    <row r="407" spans="1:7" x14ac:dyDescent="0.35">
      <c r="A407" s="48">
        <v>2</v>
      </c>
      <c r="B407" s="49">
        <v>0</v>
      </c>
      <c r="C407">
        <v>3.5</v>
      </c>
      <c r="D407" s="46">
        <f t="array" ref="D407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07" s="58">
        <f t="array" ref="E407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07" s="58">
        <f t="array" ref="F407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07" s="60">
        <f t="array" ref="G407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08" spans="1:7" x14ac:dyDescent="0.35">
      <c r="A408" s="45">
        <v>2</v>
      </c>
      <c r="B408" s="22">
        <v>1</v>
      </c>
      <c r="C408">
        <v>3.5</v>
      </c>
      <c r="D408" s="46">
        <f t="array" ref="D408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408" s="58">
        <f t="array" ref="E408">+INDEX('OUTCOME MODEL'!$C$10:$H$87,MATCH(Table1[[#This Row],[DRIVERS]]&amp;Table1[[#This Row],[DEMAND]],'OUTCOME MODEL'!$A$10:$A$87&amp;'OUTCOME MODEL'!$B$10:$B$87,0),MATCH(Table1[[#This Row],[CAPACITY]],'OUTCOME MODEL'!$C$9:$H$9))</f>
        <v>0.20582015877007317</v>
      </c>
      <c r="F408" s="58">
        <f t="array" ref="F408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408" s="60">
        <f t="array" ref="G408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409" spans="1:7" x14ac:dyDescent="0.35">
      <c r="A409" s="45">
        <v>2</v>
      </c>
      <c r="B409" s="22">
        <v>2</v>
      </c>
      <c r="C409">
        <v>3.5</v>
      </c>
      <c r="D409" s="46">
        <f t="array" ref="D409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409" s="58">
        <f t="array" ref="E409">+INDEX('OUTCOME MODEL'!$C$10:$H$87,MATCH(Table1[[#This Row],[DRIVERS]]&amp;Table1[[#This Row],[DEMAND]],'OUTCOME MODEL'!$A$10:$A$87&amp;'OUTCOME MODEL'!$B$10:$B$87,0),MATCH(Table1[[#This Row],[CAPACITY]],'OUTCOME MODEL'!$C$9:$H$9))</f>
        <v>0.39840783878441183</v>
      </c>
      <c r="F409" s="58">
        <f t="array" ref="F409">+INDEX('OUTCOME MODEL'!$I$10:$N$87,MATCH(Table1[[#This Row],[DRIVERS]]&amp;Table1[[#This Row],[DEMAND]],'OUTCOME MODEL'!$A$10:$A$87&amp;'OUTCOME MODEL'!$B$10:$B$87,0),MATCH(Table1[[#This Row],[CAPACITY]],'OUTCOME MODEL'!$I$9:$N$9))</f>
        <v>0.98199999999999998</v>
      </c>
      <c r="G409" s="60">
        <f t="array" ref="G409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10" spans="1:7" x14ac:dyDescent="0.35">
      <c r="A410" s="45">
        <v>2</v>
      </c>
      <c r="B410" s="22">
        <v>3</v>
      </c>
      <c r="C410">
        <v>3.5</v>
      </c>
      <c r="D410" s="46">
        <f t="array" ref="D410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10" s="58">
        <f t="array" ref="E410">+INDEX('OUTCOME MODEL'!$C$10:$H$87,MATCH(Table1[[#This Row],[DRIVERS]]&amp;Table1[[#This Row],[DEMAND]],'OUTCOME MODEL'!$A$10:$A$87&amp;'OUTCOME MODEL'!$B$10:$B$87,0),MATCH(Table1[[#This Row],[CAPACITY]],'OUTCOME MODEL'!$C$9:$H$9))</f>
        <v>0.57244751544539973</v>
      </c>
      <c r="F410" s="58">
        <f t="array" ref="F410">+INDEX('OUTCOME MODEL'!$I$10:$N$87,MATCH(Table1[[#This Row],[DRIVERS]]&amp;Table1[[#This Row],[DEMAND]],'OUTCOME MODEL'!$A$10:$A$87&amp;'OUTCOME MODEL'!$B$10:$B$87,0),MATCH(Table1[[#This Row],[CAPACITY]],'OUTCOME MODEL'!$I$9:$N$9))</f>
        <v>0.95399999999999996</v>
      </c>
      <c r="G410" s="60">
        <f t="array" ref="G410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411" spans="1:7" x14ac:dyDescent="0.35">
      <c r="A411" s="45">
        <v>2</v>
      </c>
      <c r="B411" s="22">
        <v>4</v>
      </c>
      <c r="C411">
        <v>3.5</v>
      </c>
      <c r="D411" s="46">
        <f t="array" ref="D411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411" s="58">
        <f t="array" ref="E411">+INDEX('OUTCOME MODEL'!$C$10:$H$87,MATCH(Table1[[#This Row],[DRIVERS]]&amp;Table1[[#This Row],[DEMAND]],'OUTCOME MODEL'!$A$10:$A$87&amp;'OUTCOME MODEL'!$B$10:$B$87,0),MATCH(Table1[[#This Row],[CAPACITY]],'OUTCOME MODEL'!$C$9:$H$9))</f>
        <v>0.70396852669769017</v>
      </c>
      <c r="F411" s="58">
        <f t="array" ref="F411">+INDEX('OUTCOME MODEL'!$I$10:$N$87,MATCH(Table1[[#This Row],[DRIVERS]]&amp;Table1[[#This Row],[DEMAND]],'OUTCOME MODEL'!$A$10:$A$87&amp;'OUTCOME MODEL'!$B$10:$B$87,0),MATCH(Table1[[#This Row],[CAPACITY]],'OUTCOME MODEL'!$I$9:$N$9))</f>
        <v>0.90300000000000002</v>
      </c>
      <c r="G411" s="60">
        <f t="array" ref="G411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412" spans="1:7" x14ac:dyDescent="0.35">
      <c r="A412" s="45">
        <v>2</v>
      </c>
      <c r="B412" s="22">
        <v>5</v>
      </c>
      <c r="C412">
        <v>3.5</v>
      </c>
      <c r="D412" s="46">
        <f t="array" ref="D412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412" s="58">
        <f t="array" ref="E412">+INDEX('OUTCOME MODEL'!$C$10:$H$87,MATCH(Table1[[#This Row],[DRIVERS]]&amp;Table1[[#This Row],[DEMAND]],'OUTCOME MODEL'!$A$10:$A$87&amp;'OUTCOME MODEL'!$B$10:$B$87,0),MATCH(Table1[[#This Row],[CAPACITY]],'OUTCOME MODEL'!$C$9:$H$9))</f>
        <v>0.81125026120856636</v>
      </c>
      <c r="F412" s="58">
        <f t="array" ref="F412">+INDEX('OUTCOME MODEL'!$I$10:$N$87,MATCH(Table1[[#This Row],[DRIVERS]]&amp;Table1[[#This Row],[DEMAND]],'OUTCOME MODEL'!$A$10:$A$87&amp;'OUTCOME MODEL'!$B$10:$B$87,0),MATCH(Table1[[#This Row],[CAPACITY]],'OUTCOME MODEL'!$I$9:$N$9))</f>
        <v>0.85299999999999998</v>
      </c>
      <c r="G412" s="60">
        <f t="array" ref="G412">+INDEX('OUTCOME MODEL'!$O$10:$T$87,MATCH(Table1[[#This Row],[DRIVERS]]&amp;Table1[[#This Row],[DEMAND]],'OUTCOME MODEL'!$A$10:$A$87&amp;'OUTCOME MODEL'!$B$10:$B$87,0),MATCH(Table1[[#This Row],[CAPACITY]],'OUTCOME MODEL'!$O$9:$T$9))</f>
        <v>2.5</v>
      </c>
    </row>
    <row r="413" spans="1:7" x14ac:dyDescent="0.35">
      <c r="A413" s="45">
        <v>2</v>
      </c>
      <c r="B413" s="22">
        <v>6</v>
      </c>
      <c r="C413">
        <v>3.5</v>
      </c>
      <c r="D413" s="46">
        <f t="array" ref="D413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413" s="58">
        <f t="array" ref="E413">+INDEX('OUTCOME MODEL'!$C$10:$H$87,MATCH(Table1[[#This Row],[DRIVERS]]&amp;Table1[[#This Row],[DEMAND]],'OUTCOME MODEL'!$A$10:$A$87&amp;'OUTCOME MODEL'!$B$10:$B$87,0),MATCH(Table1[[#This Row],[CAPACITY]],'OUTCOME MODEL'!$C$9:$H$9))</f>
        <v>0.89211843496291121</v>
      </c>
      <c r="F413" s="58">
        <f t="array" ref="F413">+INDEX('OUTCOME MODEL'!$I$10:$N$87,MATCH(Table1[[#This Row],[DRIVERS]]&amp;Table1[[#This Row],[DEMAND]],'OUTCOME MODEL'!$A$10:$A$87&amp;'OUTCOME MODEL'!$B$10:$B$87,0),MATCH(Table1[[#This Row],[CAPACITY]],'OUTCOME MODEL'!$I$9:$N$9))</f>
        <v>0.79200000000000004</v>
      </c>
      <c r="G413" s="60">
        <f t="array" ref="G413">+INDEX('OUTCOME MODEL'!$O$10:$T$87,MATCH(Table1[[#This Row],[DRIVERS]]&amp;Table1[[#This Row],[DEMAND]],'OUTCOME MODEL'!$A$10:$A$87&amp;'OUTCOME MODEL'!$B$10:$B$87,0),MATCH(Table1[[#This Row],[CAPACITY]],'OUTCOME MODEL'!$O$9:$T$9))</f>
        <v>3</v>
      </c>
    </row>
    <row r="414" spans="1:7" x14ac:dyDescent="0.35">
      <c r="A414" s="45">
        <v>2</v>
      </c>
      <c r="B414" s="22">
        <v>7</v>
      </c>
      <c r="C414">
        <v>3.5</v>
      </c>
      <c r="D414" s="46">
        <f t="array" ref="D414">+INDEX('OUTCOME MODEL'!$U$10:$Z$87,MATCH(Table1[[#This Row],[DRIVERS]]&amp;Table1[[#This Row],[DEMAND]],'OUTCOME MODEL'!$A$10:$A$87&amp;'OUTCOME MODEL'!$B$10:$B$87,0),MATCH(Table1[[#This Row],[CAPACITY]],'OUTCOME MODEL'!$U$9:$Z$9))</f>
        <v>58.332651276851315</v>
      </c>
      <c r="E414" s="58">
        <f t="array" ref="E414">+INDEX('OUTCOME MODEL'!$C$10:$H$87,MATCH(Table1[[#This Row],[DRIVERS]]&amp;Table1[[#This Row],[DEMAND]],'OUTCOME MODEL'!$A$10:$A$87&amp;'OUTCOME MODEL'!$B$10:$B$87,0),MATCH(Table1[[#This Row],[CAPACITY]],'OUTCOME MODEL'!$C$9:$H$9))</f>
        <v>0.95236981676491939</v>
      </c>
      <c r="F414" s="58">
        <f t="array" ref="F414">+INDEX('OUTCOME MODEL'!$I$10:$N$87,MATCH(Table1[[#This Row],[DRIVERS]]&amp;Table1[[#This Row],[DEMAND]],'OUTCOME MODEL'!$A$10:$A$87&amp;'OUTCOME MODEL'!$B$10:$B$87,0),MATCH(Table1[[#This Row],[CAPACITY]],'OUTCOME MODEL'!$I$9:$N$9))</f>
        <v>0.72</v>
      </c>
      <c r="G414" s="60">
        <f t="array" ref="G414">+INDEX('OUTCOME MODEL'!$O$10:$T$87,MATCH(Table1[[#This Row],[DRIVERS]]&amp;Table1[[#This Row],[DEMAND]],'OUTCOME MODEL'!$A$10:$A$87&amp;'OUTCOME MODEL'!$B$10:$B$87,0),MATCH(Table1[[#This Row],[CAPACITY]],'OUTCOME MODEL'!$O$9:$T$9))</f>
        <v>3.3332943586772177</v>
      </c>
    </row>
    <row r="415" spans="1:7" x14ac:dyDescent="0.35">
      <c r="A415" s="45">
        <v>2</v>
      </c>
      <c r="B415" s="22">
        <v>8</v>
      </c>
      <c r="C415">
        <v>3.5</v>
      </c>
      <c r="D415" s="46">
        <f t="array" ref="D415">+INDEX('OUTCOME MODEL'!$U$10:$Z$87,MATCH(Table1[[#This Row],[DRIVERS]]&amp;Table1[[#This Row],[DEMAND]],'OUTCOME MODEL'!$A$10:$A$87&amp;'OUTCOME MODEL'!$B$10:$B$87,0),MATCH(Table1[[#This Row],[CAPACITY]],'OUTCOME MODEL'!$U$9:$Z$9))</f>
        <v>60.72011938744221</v>
      </c>
      <c r="E415" s="58">
        <f t="array" ref="E415">+INDEX('OUTCOME MODEL'!$C$10:$H$87,MATCH(Table1[[#This Row],[DRIVERS]]&amp;Table1[[#This Row],[DEMAND]],'OUTCOME MODEL'!$A$10:$A$87&amp;'OUTCOME MODEL'!$B$10:$B$87,0),MATCH(Table1[[#This Row],[CAPACITY]],'OUTCOME MODEL'!$C$9:$H$9))</f>
        <v>0.99134888795824028</v>
      </c>
      <c r="F415" s="58">
        <f t="array" ref="F415">+INDEX('OUTCOME MODEL'!$I$10:$N$87,MATCH(Table1[[#This Row],[DRIVERS]]&amp;Table1[[#This Row],[DEMAND]],'OUTCOME MODEL'!$A$10:$A$87&amp;'OUTCOME MODEL'!$B$10:$B$87,0),MATCH(Table1[[#This Row],[CAPACITY]],'OUTCOME MODEL'!$I$9:$N$9))</f>
        <v>0.67600000000000005</v>
      </c>
      <c r="G415" s="60">
        <f t="array" ref="G415">+INDEX('OUTCOME MODEL'!$O$10:$T$87,MATCH(Table1[[#This Row],[DRIVERS]]&amp;Table1[[#This Row],[DEMAND]],'OUTCOME MODEL'!$A$10:$A$87&amp;'OUTCOME MODEL'!$B$10:$B$87,0),MATCH(Table1[[#This Row],[CAPACITY]],'OUTCOME MODEL'!$O$9:$T$9))</f>
        <v>3.4697211078538408</v>
      </c>
    </row>
    <row r="416" spans="1:7" x14ac:dyDescent="0.35">
      <c r="A416" s="45">
        <v>2</v>
      </c>
      <c r="B416" s="22">
        <v>9</v>
      </c>
      <c r="C416">
        <v>3.5</v>
      </c>
      <c r="D416" s="46">
        <f t="array" ref="D416">+INDEX('OUTCOME MODEL'!$U$10:$Z$87,MATCH(Table1[[#This Row],[DRIVERS]]&amp;Table1[[#This Row],[DEMAND]],'OUTCOME MODEL'!$A$10:$A$87&amp;'OUTCOME MODEL'!$B$10:$B$87,0),MATCH(Table1[[#This Row],[CAPACITY]],'OUTCOME MODEL'!$U$9:$Z$9))</f>
        <v>62.764660780952077</v>
      </c>
      <c r="E416" s="58">
        <f t="array" ref="E416">+INDEX('OUTCOME MODEL'!$C$10:$H$87,MATCH(Table1[[#This Row],[DRIVERS]]&amp;Table1[[#This Row],[DEMAND]],'OUTCOME MODEL'!$A$10:$A$87&amp;'OUTCOME MODEL'!$B$10:$B$87,0),MATCH(Table1[[#This Row],[CAPACITY]],'OUTCOME MODEL'!$C$9:$H$9))</f>
        <v>1.0247291556073808</v>
      </c>
      <c r="F416" s="58">
        <f t="array" ref="F416">+INDEX('OUTCOME MODEL'!$I$10:$N$87,MATCH(Table1[[#This Row],[DRIVERS]]&amp;Table1[[#This Row],[DEMAND]],'OUTCOME MODEL'!$A$10:$A$87&amp;'OUTCOME MODEL'!$B$10:$B$87,0),MATCH(Table1[[#This Row],[CAPACITY]],'OUTCOME MODEL'!$I$9:$N$9))</f>
        <v>0.60199999999999998</v>
      </c>
      <c r="G416" s="60">
        <f t="array" ref="G416">+INDEX('OUTCOME MODEL'!$O$10:$T$87,MATCH(Table1[[#This Row],[DRIVERS]]&amp;Table1[[#This Row],[DEMAND]],'OUTCOME MODEL'!$A$10:$A$87&amp;'OUTCOME MODEL'!$B$10:$B$87,0),MATCH(Table1[[#This Row],[CAPACITY]],'OUTCOME MODEL'!$O$9:$T$9))</f>
        <v>3.5865520446258325</v>
      </c>
    </row>
    <row r="417" spans="1:7" x14ac:dyDescent="0.35">
      <c r="A417" s="45">
        <v>2</v>
      </c>
      <c r="B417" s="22">
        <v>10</v>
      </c>
      <c r="C417">
        <v>3.5</v>
      </c>
      <c r="D417" s="46">
        <f t="array" ref="D417">+INDEX('OUTCOME MODEL'!$U$10:$Z$87,MATCH(Table1[[#This Row],[DRIVERS]]&amp;Table1[[#This Row],[DEMAND]],'OUTCOME MODEL'!$A$10:$A$87&amp;'OUTCOME MODEL'!$B$10:$B$87,0),MATCH(Table1[[#This Row],[CAPACITY]],'OUTCOME MODEL'!$U$9:$Z$9))</f>
        <v>64.079934392554321</v>
      </c>
      <c r="E417" s="58">
        <f t="array" ref="E417">+INDEX('OUTCOME MODEL'!$C$10:$H$87,MATCH(Table1[[#This Row],[DRIVERS]]&amp;Table1[[#This Row],[DEMAND]],'OUTCOME MODEL'!$A$10:$A$87&amp;'OUTCOME MODEL'!$B$10:$B$87,0),MATCH(Table1[[#This Row],[CAPACITY]],'OUTCOME MODEL'!$C$9:$H$9))</f>
        <v>1.046203010490683</v>
      </c>
      <c r="F417" s="58">
        <f t="array" ref="F417">+INDEX('OUTCOME MODEL'!$I$10:$N$87,MATCH(Table1[[#This Row],[DRIVERS]]&amp;Table1[[#This Row],[DEMAND]],'OUTCOME MODEL'!$A$10:$A$87&amp;'OUTCOME MODEL'!$B$10:$B$87,0),MATCH(Table1[[#This Row],[CAPACITY]],'OUTCOME MODEL'!$I$9:$N$9))</f>
        <v>0.56899999999999995</v>
      </c>
      <c r="G417" s="60">
        <f t="array" ref="G417">+INDEX('OUTCOME MODEL'!$O$10:$T$87,MATCH(Table1[[#This Row],[DRIVERS]]&amp;Table1[[#This Row],[DEMAND]],'OUTCOME MODEL'!$A$10:$A$87&amp;'OUTCOME MODEL'!$B$10:$B$87,0),MATCH(Table1[[#This Row],[CAPACITY]],'OUTCOME MODEL'!$O$9:$T$9))</f>
        <v>3.6617105367173903</v>
      </c>
    </row>
    <row r="418" spans="1:7" x14ac:dyDescent="0.35">
      <c r="A418" s="45">
        <v>2</v>
      </c>
      <c r="B418" s="22">
        <v>11</v>
      </c>
      <c r="C418">
        <v>3.5</v>
      </c>
      <c r="D418" s="46">
        <f t="array" ref="D418">+INDEX('OUTCOME MODEL'!$U$10:$Z$87,MATCH(Table1[[#This Row],[DRIVERS]]&amp;Table1[[#This Row],[DEMAND]],'OUTCOME MODEL'!$A$10:$A$87&amp;'OUTCOME MODEL'!$B$10:$B$87,0),MATCH(Table1[[#This Row],[CAPACITY]],'OUTCOME MODEL'!$U$9:$Z$9))</f>
        <v>65.270104255805222</v>
      </c>
      <c r="E418" s="58">
        <f t="array" ref="E418">+INDEX('OUTCOME MODEL'!$C$10:$H$87,MATCH(Table1[[#This Row],[DRIVERS]]&amp;Table1[[#This Row],[DEMAND]],'OUTCOME MODEL'!$A$10:$A$87&amp;'OUTCOME MODEL'!$B$10:$B$87,0),MATCH(Table1[[#This Row],[CAPACITY]],'OUTCOME MODEL'!$C$9:$H$9))</f>
        <v>1.0656343551968201</v>
      </c>
      <c r="F418" s="58">
        <f t="array" ref="F418">+INDEX('OUTCOME MODEL'!$I$10:$N$87,MATCH(Table1[[#This Row],[DRIVERS]]&amp;Table1[[#This Row],[DEMAND]],'OUTCOME MODEL'!$A$10:$A$87&amp;'OUTCOME MODEL'!$B$10:$B$87,0),MATCH(Table1[[#This Row],[CAPACITY]],'OUTCOME MODEL'!$I$9:$N$9))</f>
        <v>0.53500000000000003</v>
      </c>
      <c r="G418" s="60">
        <f t="array" ref="G418">+INDEX('OUTCOME MODEL'!$O$10:$T$87,MATCH(Table1[[#This Row],[DRIVERS]]&amp;Table1[[#This Row],[DEMAND]],'OUTCOME MODEL'!$A$10:$A$87&amp;'OUTCOME MODEL'!$B$10:$B$87,0),MATCH(Table1[[#This Row],[CAPACITY]],'OUTCOME MODEL'!$O$9:$T$9))</f>
        <v>3.7297202431888703</v>
      </c>
    </row>
    <row r="419" spans="1:7" x14ac:dyDescent="0.35">
      <c r="A419" s="45">
        <v>2</v>
      </c>
      <c r="B419" s="22">
        <v>12</v>
      </c>
      <c r="C419">
        <v>3.5</v>
      </c>
      <c r="D419" s="46">
        <f t="array" ref="D419">+INDEX('OUTCOME MODEL'!$U$10:$Z$87,MATCH(Table1[[#This Row],[DRIVERS]]&amp;Table1[[#This Row],[DEMAND]],'OUTCOME MODEL'!$A$10:$A$87&amp;'OUTCOME MODEL'!$B$10:$B$87,0),MATCH(Table1[[#This Row],[CAPACITY]],'OUTCOME MODEL'!$U$9:$Z$9))</f>
        <v>66.184395799323568</v>
      </c>
      <c r="E419" s="58">
        <f t="array" ref="E419">+INDEX('OUTCOME MODEL'!$C$10:$H$87,MATCH(Table1[[#This Row],[DRIVERS]]&amp;Table1[[#This Row],[DEMAND]],'OUTCOME MODEL'!$A$10:$A$87&amp;'OUTCOME MODEL'!$B$10:$B$87,0),MATCH(Table1[[#This Row],[CAPACITY]],'OUTCOME MODEL'!$C$9:$H$9))</f>
        <v>1.0805615640705888</v>
      </c>
      <c r="F419" s="58">
        <f t="array" ref="F419">+INDEX('OUTCOME MODEL'!$I$10:$N$87,MATCH(Table1[[#This Row],[DRIVERS]]&amp;Table1[[#This Row],[DEMAND]],'OUTCOME MODEL'!$A$10:$A$87&amp;'OUTCOME MODEL'!$B$10:$B$87,0),MATCH(Table1[[#This Row],[CAPACITY]],'OUTCOME MODEL'!$I$9:$N$9))</f>
        <v>0.48499999999999999</v>
      </c>
      <c r="G419" s="60">
        <f t="array" ref="G419">+INDEX('OUTCOME MODEL'!$O$10:$T$87,MATCH(Table1[[#This Row],[DRIVERS]]&amp;Table1[[#This Row],[DEMAND]],'OUTCOME MODEL'!$A$10:$A$87&amp;'OUTCOME MODEL'!$B$10:$B$87,0),MATCH(Table1[[#This Row],[CAPACITY]],'OUTCOME MODEL'!$O$9:$T$9))</f>
        <v>3.7819654742470608</v>
      </c>
    </row>
    <row r="420" spans="1:7" x14ac:dyDescent="0.35">
      <c r="A420" s="48">
        <v>3</v>
      </c>
      <c r="B420" s="49">
        <v>0</v>
      </c>
      <c r="C420">
        <v>3.5</v>
      </c>
      <c r="D420" s="46">
        <f t="array" ref="D420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20" s="58">
        <f t="array" ref="E420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20" s="58">
        <f t="array" ref="F420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20" s="60">
        <f t="array" ref="G420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21" spans="1:7" x14ac:dyDescent="0.35">
      <c r="A421" s="45">
        <v>3</v>
      </c>
      <c r="B421" s="22">
        <v>1</v>
      </c>
      <c r="C421">
        <v>3.5</v>
      </c>
      <c r="D421" s="46">
        <f t="array" ref="D421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421" s="58">
        <f t="array" ref="E421">+INDEX('OUTCOME MODEL'!$C$10:$H$87,MATCH(Table1[[#This Row],[DRIVERS]]&amp;Table1[[#This Row],[DEMAND]],'OUTCOME MODEL'!$A$10:$A$87&amp;'OUTCOME MODEL'!$B$10:$B$87,0),MATCH(Table1[[#This Row],[CAPACITY]],'OUTCOME MODEL'!$C$9:$H$9))</f>
        <v>0.13898917379133638</v>
      </c>
      <c r="F421" s="58">
        <f t="array" ref="F421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421" s="60">
        <f t="array" ref="G421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422" spans="1:7" x14ac:dyDescent="0.35">
      <c r="A422" s="45">
        <v>3</v>
      </c>
      <c r="B422" s="22">
        <v>2</v>
      </c>
      <c r="C422">
        <v>3.5</v>
      </c>
      <c r="D422" s="46">
        <f t="array" ref="D422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422" s="58">
        <f t="array" ref="E422">+INDEX('OUTCOME MODEL'!$C$10:$H$87,MATCH(Table1[[#This Row],[DRIVERS]]&amp;Table1[[#This Row],[DEMAND]],'OUTCOME MODEL'!$A$10:$A$87&amp;'OUTCOME MODEL'!$B$10:$B$87,0),MATCH(Table1[[#This Row],[CAPACITY]],'OUTCOME MODEL'!$C$9:$H$9))</f>
        <v>0.26895861257431797</v>
      </c>
      <c r="F422" s="58">
        <f t="array" ref="F422">+INDEX('OUTCOME MODEL'!$I$10:$N$87,MATCH(Table1[[#This Row],[DRIVERS]]&amp;Table1[[#This Row],[DEMAND]],'OUTCOME MODEL'!$A$10:$A$87&amp;'OUTCOME MODEL'!$B$10:$B$87,0),MATCH(Table1[[#This Row],[CAPACITY]],'OUTCOME MODEL'!$I$9:$N$9))</f>
        <v>0.996</v>
      </c>
      <c r="G422" s="60">
        <f t="array" ref="G422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423" spans="1:7" x14ac:dyDescent="0.35">
      <c r="A423" s="45">
        <v>3</v>
      </c>
      <c r="B423" s="22">
        <v>3</v>
      </c>
      <c r="C423">
        <v>3.5</v>
      </c>
      <c r="D423" s="46">
        <f t="array" ref="D423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23" s="58">
        <f t="array" ref="E423">+INDEX('OUTCOME MODEL'!$C$10:$H$87,MATCH(Table1[[#This Row],[DRIVERS]]&amp;Table1[[#This Row],[DEMAND]],'OUTCOME MODEL'!$A$10:$A$87&amp;'OUTCOME MODEL'!$B$10:$B$87,0),MATCH(Table1[[#This Row],[CAPACITY]],'OUTCOME MODEL'!$C$9:$H$9))</f>
        <v>0.39787728071541728</v>
      </c>
      <c r="F423" s="58">
        <f t="array" ref="F423">+INDEX('OUTCOME MODEL'!$I$10:$N$87,MATCH(Table1[[#This Row],[DRIVERS]]&amp;Table1[[#This Row],[DEMAND]],'OUTCOME MODEL'!$A$10:$A$87&amp;'OUTCOME MODEL'!$B$10:$B$87,0),MATCH(Table1[[#This Row],[CAPACITY]],'OUTCOME MODEL'!$I$9:$N$9))</f>
        <v>0.99299999999999999</v>
      </c>
      <c r="G423" s="60">
        <f t="array" ref="G423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24" spans="1:7" x14ac:dyDescent="0.35">
      <c r="A424" s="45">
        <v>3</v>
      </c>
      <c r="B424" s="22">
        <v>4</v>
      </c>
      <c r="C424">
        <v>3.5</v>
      </c>
      <c r="D424" s="46">
        <f t="array" ref="D424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424" s="58">
        <f t="array" ref="E424">+INDEX('OUTCOME MODEL'!$C$10:$H$87,MATCH(Table1[[#This Row],[DRIVERS]]&amp;Table1[[#This Row],[DEMAND]],'OUTCOME MODEL'!$A$10:$A$87&amp;'OUTCOME MODEL'!$B$10:$B$87,0),MATCH(Table1[[#This Row],[CAPACITY]],'OUTCOME MODEL'!$C$9:$H$9))</f>
        <v>0.51864452507772085</v>
      </c>
      <c r="F424" s="58">
        <f t="array" ref="F424">+INDEX('OUTCOME MODEL'!$I$10:$N$87,MATCH(Table1[[#This Row],[DRIVERS]]&amp;Table1[[#This Row],[DEMAND]],'OUTCOME MODEL'!$A$10:$A$87&amp;'OUTCOME MODEL'!$B$10:$B$87,0),MATCH(Table1[[#This Row],[CAPACITY]],'OUTCOME MODEL'!$I$9:$N$9))</f>
        <v>0.98599999999999999</v>
      </c>
      <c r="G424" s="60">
        <f t="array" ref="G424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425" spans="1:7" x14ac:dyDescent="0.35">
      <c r="A425" s="45">
        <v>3</v>
      </c>
      <c r="B425" s="22">
        <v>5</v>
      </c>
      <c r="C425">
        <v>3.5</v>
      </c>
      <c r="D425" s="46">
        <f t="array" ref="D425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425" s="58">
        <f t="array" ref="E425">+INDEX('OUTCOME MODEL'!$C$10:$H$87,MATCH(Table1[[#This Row],[DRIVERS]]&amp;Table1[[#This Row],[DEMAND]],'OUTCOME MODEL'!$A$10:$A$87&amp;'OUTCOME MODEL'!$B$10:$B$87,0),MATCH(Table1[[#This Row],[CAPACITY]],'OUTCOME MODEL'!$C$9:$H$9))</f>
        <v>0.62112722486630789</v>
      </c>
      <c r="F425" s="58">
        <f t="array" ref="F425">+INDEX('OUTCOME MODEL'!$I$10:$N$87,MATCH(Table1[[#This Row],[DRIVERS]]&amp;Table1[[#This Row],[DEMAND]],'OUTCOME MODEL'!$A$10:$A$87&amp;'OUTCOME MODEL'!$B$10:$B$87,0),MATCH(Table1[[#This Row],[CAPACITY]],'OUTCOME MODEL'!$I$9:$N$9))</f>
        <v>0.97</v>
      </c>
      <c r="G425" s="60">
        <f t="array" ref="G425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426" spans="1:7" x14ac:dyDescent="0.35">
      <c r="A426" s="45">
        <v>3</v>
      </c>
      <c r="B426" s="22">
        <v>6</v>
      </c>
      <c r="C426">
        <v>3.5</v>
      </c>
      <c r="D426" s="46">
        <f t="array" ref="D426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426" s="58">
        <f t="array" ref="E426">+INDEX('OUTCOME MODEL'!$C$10:$H$87,MATCH(Table1[[#This Row],[DRIVERS]]&amp;Table1[[#This Row],[DEMAND]],'OUTCOME MODEL'!$A$10:$A$87&amp;'OUTCOME MODEL'!$B$10:$B$87,0),MATCH(Table1[[#This Row],[CAPACITY]],'OUTCOME MODEL'!$C$9:$H$9))</f>
        <v>0.71690143750381985</v>
      </c>
      <c r="F426" s="58">
        <f t="array" ref="F426">+INDEX('OUTCOME MODEL'!$I$10:$N$87,MATCH(Table1[[#This Row],[DRIVERS]]&amp;Table1[[#This Row],[DEMAND]],'OUTCOME MODEL'!$A$10:$A$87&amp;'OUTCOME MODEL'!$B$10:$B$87,0),MATCH(Table1[[#This Row],[CAPACITY]],'OUTCOME MODEL'!$I$9:$N$9))</f>
        <v>0.92200000000000004</v>
      </c>
      <c r="G426" s="60">
        <f t="array" ref="G426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427" spans="1:7" x14ac:dyDescent="0.35">
      <c r="A427" s="45">
        <v>3</v>
      </c>
      <c r="B427" s="22">
        <v>7</v>
      </c>
      <c r="C427">
        <v>3.5</v>
      </c>
      <c r="D427" s="46">
        <f t="array" ref="D427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427" s="58">
        <f t="array" ref="E427">+INDEX('OUTCOME MODEL'!$C$10:$H$87,MATCH(Table1[[#This Row],[DRIVERS]]&amp;Table1[[#This Row],[DEMAND]],'OUTCOME MODEL'!$A$10:$A$87&amp;'OUTCOME MODEL'!$B$10:$B$87,0),MATCH(Table1[[#This Row],[CAPACITY]],'OUTCOME MODEL'!$C$9:$H$9))</f>
        <v>0.79911280723877109</v>
      </c>
      <c r="F427" s="58">
        <f t="array" ref="F427">+INDEX('OUTCOME MODEL'!$I$10:$N$87,MATCH(Table1[[#This Row],[DRIVERS]]&amp;Table1[[#This Row],[DEMAND]],'OUTCOME MODEL'!$A$10:$A$87&amp;'OUTCOME MODEL'!$B$10:$B$87,0),MATCH(Table1[[#This Row],[CAPACITY]],'OUTCOME MODEL'!$I$9:$N$9))</f>
        <v>0.91100000000000003</v>
      </c>
      <c r="G427" s="60">
        <f t="array" ref="G427">+INDEX('OUTCOME MODEL'!$O$10:$T$87,MATCH(Table1[[#This Row],[DRIVERS]]&amp;Table1[[#This Row],[DEMAND]],'OUTCOME MODEL'!$A$10:$A$87&amp;'OUTCOME MODEL'!$B$10:$B$87,0),MATCH(Table1[[#This Row],[CAPACITY]],'OUTCOME MODEL'!$O$9:$T$9))</f>
        <v>2.3333333333333335</v>
      </c>
    </row>
    <row r="428" spans="1:7" x14ac:dyDescent="0.35">
      <c r="A428" s="45">
        <v>3</v>
      </c>
      <c r="B428" s="22">
        <v>8</v>
      </c>
      <c r="C428">
        <v>3.5</v>
      </c>
      <c r="D428" s="46">
        <f t="array" ref="D428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428" s="58">
        <f t="array" ref="E428">+INDEX('OUTCOME MODEL'!$C$10:$H$87,MATCH(Table1[[#This Row],[DRIVERS]]&amp;Table1[[#This Row],[DEMAND]],'OUTCOME MODEL'!$A$10:$A$87&amp;'OUTCOME MODEL'!$B$10:$B$87,0),MATCH(Table1[[#This Row],[CAPACITY]],'OUTCOME MODEL'!$C$9:$H$9))</f>
        <v>0.85898507208806962</v>
      </c>
      <c r="F428" s="58">
        <f t="array" ref="F428">+INDEX('OUTCOME MODEL'!$I$10:$N$87,MATCH(Table1[[#This Row],[DRIVERS]]&amp;Table1[[#This Row],[DEMAND]],'OUTCOME MODEL'!$A$10:$A$87&amp;'OUTCOME MODEL'!$B$10:$B$87,0),MATCH(Table1[[#This Row],[CAPACITY]],'OUTCOME MODEL'!$I$9:$N$9))</f>
        <v>0.89200000000000002</v>
      </c>
      <c r="G428" s="60">
        <f t="array" ref="G428">+INDEX('OUTCOME MODEL'!$O$10:$T$87,MATCH(Table1[[#This Row],[DRIVERS]]&amp;Table1[[#This Row],[DEMAND]],'OUTCOME MODEL'!$A$10:$A$87&amp;'OUTCOME MODEL'!$B$10:$B$87,0),MATCH(Table1[[#This Row],[CAPACITY]],'OUTCOME MODEL'!$O$9:$T$9))</f>
        <v>2.6666666666666665</v>
      </c>
    </row>
    <row r="429" spans="1:7" x14ac:dyDescent="0.35">
      <c r="A429" s="45">
        <v>3</v>
      </c>
      <c r="B429" s="22">
        <v>9</v>
      </c>
      <c r="C429">
        <v>3.5</v>
      </c>
      <c r="D429" s="46">
        <f t="array" ref="D429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429" s="58">
        <f t="array" ref="E429">+INDEX('OUTCOME MODEL'!$C$10:$H$87,MATCH(Table1[[#This Row],[DRIVERS]]&amp;Table1[[#This Row],[DEMAND]],'OUTCOME MODEL'!$A$10:$A$87&amp;'OUTCOME MODEL'!$B$10:$B$87,0),MATCH(Table1[[#This Row],[CAPACITY]],'OUTCOME MODEL'!$C$9:$H$9))</f>
        <v>0.91000666688344367</v>
      </c>
      <c r="F429" s="58">
        <f t="array" ref="F429">+INDEX('OUTCOME MODEL'!$I$10:$N$87,MATCH(Table1[[#This Row],[DRIVERS]]&amp;Table1[[#This Row],[DEMAND]],'OUTCOME MODEL'!$A$10:$A$87&amp;'OUTCOME MODEL'!$B$10:$B$87,0),MATCH(Table1[[#This Row],[CAPACITY]],'OUTCOME MODEL'!$I$9:$N$9))</f>
        <v>0.82499999999999996</v>
      </c>
      <c r="G429" s="60">
        <f t="array" ref="G429">+INDEX('OUTCOME MODEL'!$O$10:$T$87,MATCH(Table1[[#This Row],[DRIVERS]]&amp;Table1[[#This Row],[DEMAND]],'OUTCOME MODEL'!$A$10:$A$87&amp;'OUTCOME MODEL'!$B$10:$B$87,0),MATCH(Table1[[#This Row],[CAPACITY]],'OUTCOME MODEL'!$O$9:$T$9))</f>
        <v>3</v>
      </c>
    </row>
    <row r="430" spans="1:7" x14ac:dyDescent="0.35">
      <c r="A430" s="45">
        <v>3</v>
      </c>
      <c r="B430" s="22">
        <v>10</v>
      </c>
      <c r="C430">
        <v>3.5</v>
      </c>
      <c r="D430" s="46">
        <f t="array" ref="D430">+INDEX('OUTCOME MODEL'!$U$10:$Z$87,MATCH(Table1[[#This Row],[DRIVERS]]&amp;Table1[[#This Row],[DEMAND]],'OUTCOME MODEL'!$A$10:$A$87&amp;'OUTCOME MODEL'!$B$10:$B$87,0),MATCH(Table1[[#This Row],[CAPACITY]],'OUTCOME MODEL'!$U$9:$Z$9))</f>
        <v>86.953878885867354</v>
      </c>
      <c r="E430" s="58">
        <f t="array" ref="E430">+INDEX('OUTCOME MODEL'!$C$10:$H$87,MATCH(Table1[[#This Row],[DRIVERS]]&amp;Table1[[#This Row],[DEMAND]],'OUTCOME MODEL'!$A$10:$A$87&amp;'OUTCOME MODEL'!$B$10:$B$87,0),MATCH(Table1[[#This Row],[CAPACITY]],'OUTCOME MODEL'!$C$9:$H$9))</f>
        <v>0.94643677698903239</v>
      </c>
      <c r="F430" s="58">
        <f t="array" ref="F430">+INDEX('OUTCOME MODEL'!$I$10:$N$87,MATCH(Table1[[#This Row],[DRIVERS]]&amp;Table1[[#This Row],[DEMAND]],'OUTCOME MODEL'!$A$10:$A$87&amp;'OUTCOME MODEL'!$B$10:$B$87,0),MATCH(Table1[[#This Row],[CAPACITY]],'OUTCOME MODEL'!$I$9:$N$9))</f>
        <v>0.76</v>
      </c>
      <c r="G430" s="60">
        <f t="array" ref="G430">+INDEX('OUTCOME MODEL'!$O$10:$T$87,MATCH(Table1[[#This Row],[DRIVERS]]&amp;Table1[[#This Row],[DEMAND]],'OUTCOME MODEL'!$A$10:$A$87&amp;'OUTCOME MODEL'!$B$10:$B$87,0),MATCH(Table1[[#This Row],[CAPACITY]],'OUTCOME MODEL'!$O$9:$T$9))</f>
        <v>3.3125287194616133</v>
      </c>
    </row>
    <row r="431" spans="1:7" x14ac:dyDescent="0.35">
      <c r="A431" s="45">
        <v>3</v>
      </c>
      <c r="B431" s="22">
        <v>11</v>
      </c>
      <c r="C431">
        <v>3.5</v>
      </c>
      <c r="D431" s="46">
        <f t="array" ref="D431">+INDEX('OUTCOME MODEL'!$U$10:$Z$87,MATCH(Table1[[#This Row],[DRIVERS]]&amp;Table1[[#This Row],[DEMAND]],'OUTCOME MODEL'!$A$10:$A$87&amp;'OUTCOME MODEL'!$B$10:$B$87,0),MATCH(Table1[[#This Row],[CAPACITY]],'OUTCOME MODEL'!$U$9:$Z$9))</f>
        <v>89.445101019969542</v>
      </c>
      <c r="E431" s="58">
        <f t="array" ref="E431">+INDEX('OUTCOME MODEL'!$C$10:$H$87,MATCH(Table1[[#This Row],[DRIVERS]]&amp;Table1[[#This Row],[DEMAND]],'OUTCOME MODEL'!$A$10:$A$87&amp;'OUTCOME MODEL'!$B$10:$B$87,0),MATCH(Table1[[#This Row],[CAPACITY]],'OUTCOME MODEL'!$C$9:$H$9))</f>
        <v>0.9735521199452466</v>
      </c>
      <c r="F431" s="58">
        <f t="array" ref="F431">+INDEX('OUTCOME MODEL'!$I$10:$N$87,MATCH(Table1[[#This Row],[DRIVERS]]&amp;Table1[[#This Row],[DEMAND]],'OUTCOME MODEL'!$A$10:$A$87&amp;'OUTCOME MODEL'!$B$10:$B$87,0),MATCH(Table1[[#This Row],[CAPACITY]],'OUTCOME MODEL'!$I$9:$N$9))</f>
        <v>0.71699999999999997</v>
      </c>
      <c r="G431" s="60">
        <f t="array" ref="G431">+INDEX('OUTCOME MODEL'!$O$10:$T$87,MATCH(Table1[[#This Row],[DRIVERS]]&amp;Table1[[#This Row],[DEMAND]],'OUTCOME MODEL'!$A$10:$A$87&amp;'OUTCOME MODEL'!$B$10:$B$87,0),MATCH(Table1[[#This Row],[CAPACITY]],'OUTCOME MODEL'!$O$9:$T$9))</f>
        <v>3.4074324198083632</v>
      </c>
    </row>
    <row r="432" spans="1:7" x14ac:dyDescent="0.35">
      <c r="A432" s="45">
        <v>3</v>
      </c>
      <c r="B432" s="22">
        <v>12</v>
      </c>
      <c r="C432">
        <v>3.5</v>
      </c>
      <c r="D432" s="46">
        <f t="array" ref="D432">+INDEX('OUTCOME MODEL'!$U$10:$Z$87,MATCH(Table1[[#This Row],[DRIVERS]]&amp;Table1[[#This Row],[DEMAND]],'OUTCOME MODEL'!$A$10:$A$87&amp;'OUTCOME MODEL'!$B$10:$B$87,0),MATCH(Table1[[#This Row],[CAPACITY]],'OUTCOME MODEL'!$U$9:$Z$9))</f>
        <v>91.139219929132821</v>
      </c>
      <c r="E432" s="58">
        <f t="array" ref="E432">+INDEX('OUTCOME MODEL'!$C$10:$H$87,MATCH(Table1[[#This Row],[DRIVERS]]&amp;Table1[[#This Row],[DEMAND]],'OUTCOME MODEL'!$A$10:$A$87&amp;'OUTCOME MODEL'!$B$10:$B$87,0),MATCH(Table1[[#This Row],[CAPACITY]],'OUTCOME MODEL'!$C$9:$H$9))</f>
        <v>0.99199150943273817</v>
      </c>
      <c r="F432" s="58">
        <f t="array" ref="F432">+INDEX('OUTCOME MODEL'!$I$10:$N$87,MATCH(Table1[[#This Row],[DRIVERS]]&amp;Table1[[#This Row],[DEMAND]],'OUTCOME MODEL'!$A$10:$A$87&amp;'OUTCOME MODEL'!$B$10:$B$87,0),MATCH(Table1[[#This Row],[CAPACITY]],'OUTCOME MODEL'!$I$9:$N$9))</f>
        <v>0.70899999999999996</v>
      </c>
      <c r="G432" s="60">
        <f t="array" ref="G432">+INDEX('OUTCOME MODEL'!$O$10:$T$87,MATCH(Table1[[#This Row],[DRIVERS]]&amp;Table1[[#This Row],[DEMAND]],'OUTCOME MODEL'!$A$10:$A$87&amp;'OUTCOME MODEL'!$B$10:$B$87,0),MATCH(Table1[[#This Row],[CAPACITY]],'OUTCOME MODEL'!$O$9:$T$9))</f>
        <v>3.4719702830145835</v>
      </c>
    </row>
    <row r="433" spans="1:7" x14ac:dyDescent="0.35">
      <c r="A433" s="48">
        <v>4</v>
      </c>
      <c r="B433" s="49">
        <v>0</v>
      </c>
      <c r="C433">
        <v>3.5</v>
      </c>
      <c r="D433" s="46">
        <f t="array" ref="D433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33" s="58">
        <f t="array" ref="E433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33" s="58">
        <f t="array" ref="F433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33" s="60">
        <f t="array" ref="G433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34" spans="1:7" x14ac:dyDescent="0.35">
      <c r="A434" s="45">
        <v>4</v>
      </c>
      <c r="B434" s="22">
        <v>1</v>
      </c>
      <c r="C434">
        <v>3.5</v>
      </c>
      <c r="D434" s="46">
        <f t="array" ref="D434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434" s="58">
        <f t="array" ref="E434">+INDEX('OUTCOME MODEL'!$C$10:$H$87,MATCH(Table1[[#This Row],[DRIVERS]]&amp;Table1[[#This Row],[DEMAND]],'OUTCOME MODEL'!$A$10:$A$87&amp;'OUTCOME MODEL'!$B$10:$B$87,0),MATCH(Table1[[#This Row],[CAPACITY]],'OUTCOME MODEL'!$C$9:$H$9))</f>
        <v>0.10313468856011908</v>
      </c>
      <c r="F434" s="58">
        <f t="array" ref="F434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34" s="60">
        <f t="array" ref="G434">+INDEX('OUTCOME MODEL'!$O$10:$T$87,MATCH(Table1[[#This Row],[DRIVERS]]&amp;Table1[[#This Row],[DEMAND]],'OUTCOME MODEL'!$A$10:$A$87&amp;'OUTCOME MODEL'!$B$10:$B$87,0),MATCH(Table1[[#This Row],[CAPACITY]],'OUTCOME MODEL'!$O$9:$T$9))</f>
        <v>0.25</v>
      </c>
    </row>
    <row r="435" spans="1:7" x14ac:dyDescent="0.35">
      <c r="A435" s="45">
        <v>4</v>
      </c>
      <c r="B435" s="22">
        <v>2</v>
      </c>
      <c r="C435">
        <v>3.5</v>
      </c>
      <c r="D435" s="46">
        <f t="array" ref="D435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435" s="58">
        <f t="array" ref="E435">+INDEX('OUTCOME MODEL'!$C$10:$H$87,MATCH(Table1[[#This Row],[DRIVERS]]&amp;Table1[[#This Row],[DEMAND]],'OUTCOME MODEL'!$A$10:$A$87&amp;'OUTCOME MODEL'!$B$10:$B$87,0),MATCH(Table1[[#This Row],[CAPACITY]],'OUTCOME MODEL'!$C$9:$H$9))</f>
        <v>0.20371745882048084</v>
      </c>
      <c r="F435" s="58">
        <f t="array" ref="F435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35" s="60">
        <f t="array" ref="G435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436" spans="1:7" x14ac:dyDescent="0.35">
      <c r="A436" s="45">
        <v>4</v>
      </c>
      <c r="B436" s="22">
        <v>3</v>
      </c>
      <c r="C436">
        <v>3.5</v>
      </c>
      <c r="D436" s="46">
        <f t="array" ref="D436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36" s="58">
        <f t="array" ref="E436">+INDEX('OUTCOME MODEL'!$C$10:$H$87,MATCH(Table1[[#This Row],[DRIVERS]]&amp;Table1[[#This Row],[DEMAND]],'OUTCOME MODEL'!$A$10:$A$87&amp;'OUTCOME MODEL'!$B$10:$B$87,0),MATCH(Table1[[#This Row],[CAPACITY]],'OUTCOME MODEL'!$C$9:$H$9))</f>
        <v>0.29657441012398789</v>
      </c>
      <c r="F436" s="58">
        <f t="array" ref="F436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436" s="60">
        <f t="array" ref="G436">+INDEX('OUTCOME MODEL'!$O$10:$T$87,MATCH(Table1[[#This Row],[DRIVERS]]&amp;Table1[[#This Row],[DEMAND]],'OUTCOME MODEL'!$A$10:$A$87&amp;'OUTCOME MODEL'!$B$10:$B$87,0),MATCH(Table1[[#This Row],[CAPACITY]],'OUTCOME MODEL'!$O$9:$T$9))</f>
        <v>0.75</v>
      </c>
    </row>
    <row r="437" spans="1:7" x14ac:dyDescent="0.35">
      <c r="A437" s="45">
        <v>4</v>
      </c>
      <c r="B437" s="22">
        <v>4</v>
      </c>
      <c r="C437">
        <v>3.5</v>
      </c>
      <c r="D437" s="46">
        <f t="array" ref="D437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437" s="58">
        <f t="array" ref="E437">+INDEX('OUTCOME MODEL'!$C$10:$H$87,MATCH(Table1[[#This Row],[DRIVERS]]&amp;Table1[[#This Row],[DEMAND]],'OUTCOME MODEL'!$A$10:$A$87&amp;'OUTCOME MODEL'!$B$10:$B$87,0),MATCH(Table1[[#This Row],[CAPACITY]],'OUTCOME MODEL'!$C$9:$H$9))</f>
        <v>0.39067395213803302</v>
      </c>
      <c r="F437" s="58">
        <f t="array" ref="F437">+INDEX('OUTCOME MODEL'!$I$10:$N$87,MATCH(Table1[[#This Row],[DRIVERS]]&amp;Table1[[#This Row],[DEMAND]],'OUTCOME MODEL'!$A$10:$A$87&amp;'OUTCOME MODEL'!$B$10:$B$87,0),MATCH(Table1[[#This Row],[CAPACITY]],'OUTCOME MODEL'!$I$9:$N$9))</f>
        <v>0.98499999999999999</v>
      </c>
      <c r="G437" s="60">
        <f t="array" ref="G437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38" spans="1:7" x14ac:dyDescent="0.35">
      <c r="A438" s="45">
        <v>4</v>
      </c>
      <c r="B438" s="22">
        <v>5</v>
      </c>
      <c r="C438">
        <v>3.5</v>
      </c>
      <c r="D438" s="46">
        <f t="array" ref="D438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438" s="58">
        <f t="array" ref="E438">+INDEX('OUTCOME MODEL'!$C$10:$H$87,MATCH(Table1[[#This Row],[DRIVERS]]&amp;Table1[[#This Row],[DEMAND]],'OUTCOME MODEL'!$A$10:$A$87&amp;'OUTCOME MODEL'!$B$10:$B$87,0),MATCH(Table1[[#This Row],[CAPACITY]],'OUTCOME MODEL'!$C$9:$H$9))</f>
        <v>0.46941970771138464</v>
      </c>
      <c r="F438" s="58">
        <f t="array" ref="F438">+INDEX('OUTCOME MODEL'!$I$10:$N$87,MATCH(Table1[[#This Row],[DRIVERS]]&amp;Table1[[#This Row],[DEMAND]],'OUTCOME MODEL'!$A$10:$A$87&amp;'OUTCOME MODEL'!$B$10:$B$87,0),MATCH(Table1[[#This Row],[CAPACITY]],'OUTCOME MODEL'!$I$9:$N$9))</f>
        <v>0.97099999999999997</v>
      </c>
      <c r="G438" s="60">
        <f t="array" ref="G438">+INDEX('OUTCOME MODEL'!$O$10:$T$87,MATCH(Table1[[#This Row],[DRIVERS]]&amp;Table1[[#This Row],[DEMAND]],'OUTCOME MODEL'!$A$10:$A$87&amp;'OUTCOME MODEL'!$B$10:$B$87,0),MATCH(Table1[[#This Row],[CAPACITY]],'OUTCOME MODEL'!$O$9:$T$9))</f>
        <v>1.25</v>
      </c>
    </row>
    <row r="439" spans="1:7" x14ac:dyDescent="0.35">
      <c r="A439" s="45">
        <v>4</v>
      </c>
      <c r="B439" s="22">
        <v>6</v>
      </c>
      <c r="C439">
        <v>3.5</v>
      </c>
      <c r="D439" s="46">
        <f t="array" ref="D439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439" s="58">
        <f t="array" ref="E439">+INDEX('OUTCOME MODEL'!$C$10:$H$87,MATCH(Table1[[#This Row],[DRIVERS]]&amp;Table1[[#This Row],[DEMAND]],'OUTCOME MODEL'!$A$10:$A$87&amp;'OUTCOME MODEL'!$B$10:$B$87,0),MATCH(Table1[[#This Row],[CAPACITY]],'OUTCOME MODEL'!$C$9:$H$9))</f>
        <v>0.54244296181010387</v>
      </c>
      <c r="F439" s="58">
        <f t="array" ref="F439">+INDEX('OUTCOME MODEL'!$I$10:$N$87,MATCH(Table1[[#This Row],[DRIVERS]]&amp;Table1[[#This Row],[DEMAND]],'OUTCOME MODEL'!$A$10:$A$87&amp;'OUTCOME MODEL'!$B$10:$B$87,0),MATCH(Table1[[#This Row],[CAPACITY]],'OUTCOME MODEL'!$I$9:$N$9))</f>
        <v>0.94599999999999995</v>
      </c>
      <c r="G439" s="60">
        <f t="array" ref="G439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440" spans="1:7" x14ac:dyDescent="0.35">
      <c r="A440" s="45">
        <v>4</v>
      </c>
      <c r="B440" s="22">
        <v>7</v>
      </c>
      <c r="C440">
        <v>3.5</v>
      </c>
      <c r="D440" s="46">
        <f t="array" ref="D440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440" s="58">
        <f t="array" ref="E440">+INDEX('OUTCOME MODEL'!$C$10:$H$87,MATCH(Table1[[#This Row],[DRIVERS]]&amp;Table1[[#This Row],[DEMAND]],'OUTCOME MODEL'!$A$10:$A$87&amp;'OUTCOME MODEL'!$B$10:$B$87,0),MATCH(Table1[[#This Row],[CAPACITY]],'OUTCOME MODEL'!$C$9:$H$9))</f>
        <v>0.60157377672988954</v>
      </c>
      <c r="F440" s="58">
        <f t="array" ref="F440">+INDEX('OUTCOME MODEL'!$I$10:$N$87,MATCH(Table1[[#This Row],[DRIVERS]]&amp;Table1[[#This Row],[DEMAND]],'OUTCOME MODEL'!$A$10:$A$87&amp;'OUTCOME MODEL'!$B$10:$B$87,0),MATCH(Table1[[#This Row],[CAPACITY]],'OUTCOME MODEL'!$I$9:$N$9))</f>
        <v>0.91300000000000003</v>
      </c>
      <c r="G440" s="60">
        <f t="array" ref="G440">+INDEX('OUTCOME MODEL'!$O$10:$T$87,MATCH(Table1[[#This Row],[DRIVERS]]&amp;Table1[[#This Row],[DEMAND]],'OUTCOME MODEL'!$A$10:$A$87&amp;'OUTCOME MODEL'!$B$10:$B$87,0),MATCH(Table1[[#This Row],[CAPACITY]],'OUTCOME MODEL'!$O$9:$T$9))</f>
        <v>1.75</v>
      </c>
    </row>
    <row r="441" spans="1:7" x14ac:dyDescent="0.35">
      <c r="A441" s="45">
        <v>4</v>
      </c>
      <c r="B441" s="22">
        <v>8</v>
      </c>
      <c r="C441">
        <v>3.5</v>
      </c>
      <c r="D441" s="46">
        <f t="array" ref="D441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441" s="58">
        <f t="array" ref="E441">+INDEX('OUTCOME MODEL'!$C$10:$H$87,MATCH(Table1[[#This Row],[DRIVERS]]&amp;Table1[[#This Row],[DEMAND]],'OUTCOME MODEL'!$A$10:$A$87&amp;'OUTCOME MODEL'!$B$10:$B$87,0),MATCH(Table1[[#This Row],[CAPACITY]],'OUTCOME MODEL'!$C$9:$H$9))</f>
        <v>0.64928113370126861</v>
      </c>
      <c r="F441" s="58">
        <f t="array" ref="F441">+INDEX('OUTCOME MODEL'!$I$10:$N$87,MATCH(Table1[[#This Row],[DRIVERS]]&amp;Table1[[#This Row],[DEMAND]],'OUTCOME MODEL'!$A$10:$A$87&amp;'OUTCOME MODEL'!$B$10:$B$87,0),MATCH(Table1[[#This Row],[CAPACITY]],'OUTCOME MODEL'!$I$9:$N$9))</f>
        <v>0.88600000000000001</v>
      </c>
      <c r="G441" s="60">
        <f t="array" ref="G441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442" spans="1:7" x14ac:dyDescent="0.35">
      <c r="A442" s="45">
        <v>4</v>
      </c>
      <c r="B442" s="22">
        <v>9</v>
      </c>
      <c r="C442">
        <v>3.5</v>
      </c>
      <c r="D442" s="46">
        <f t="array" ref="D442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442" s="58">
        <f t="array" ref="E442">+INDEX('OUTCOME MODEL'!$C$10:$H$87,MATCH(Table1[[#This Row],[DRIVERS]]&amp;Table1[[#This Row],[DEMAND]],'OUTCOME MODEL'!$A$10:$A$87&amp;'OUTCOME MODEL'!$B$10:$B$87,0),MATCH(Table1[[#This Row],[CAPACITY]],'OUTCOME MODEL'!$C$9:$H$9))</f>
        <v>0.69241843578629991</v>
      </c>
      <c r="F442" s="58">
        <f t="array" ref="F442">+INDEX('OUTCOME MODEL'!$I$10:$N$87,MATCH(Table1[[#This Row],[DRIVERS]]&amp;Table1[[#This Row],[DEMAND]],'OUTCOME MODEL'!$A$10:$A$87&amp;'OUTCOME MODEL'!$B$10:$B$87,0),MATCH(Table1[[#This Row],[CAPACITY]],'OUTCOME MODEL'!$I$9:$N$9))</f>
        <v>0.81</v>
      </c>
      <c r="G442" s="60">
        <f t="array" ref="G442">+INDEX('OUTCOME MODEL'!$O$10:$T$87,MATCH(Table1[[#This Row],[DRIVERS]]&amp;Table1[[#This Row],[DEMAND]],'OUTCOME MODEL'!$A$10:$A$87&amp;'OUTCOME MODEL'!$B$10:$B$87,0),MATCH(Table1[[#This Row],[CAPACITY]],'OUTCOME MODEL'!$O$9:$T$9))</f>
        <v>2.25</v>
      </c>
    </row>
    <row r="443" spans="1:7" x14ac:dyDescent="0.35">
      <c r="A443" s="45">
        <v>4</v>
      </c>
      <c r="B443" s="22">
        <v>10</v>
      </c>
      <c r="C443">
        <v>3.5</v>
      </c>
      <c r="D443" s="46">
        <f t="array" ref="D443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443" s="58">
        <f t="array" ref="E443">+INDEX('OUTCOME MODEL'!$C$10:$H$87,MATCH(Table1[[#This Row],[DRIVERS]]&amp;Table1[[#This Row],[DEMAND]],'OUTCOME MODEL'!$A$10:$A$87&amp;'OUTCOME MODEL'!$B$10:$B$87,0),MATCH(Table1[[#This Row],[CAPACITY]],'OUTCOME MODEL'!$C$9:$H$9))</f>
        <v>0.72542017097661027</v>
      </c>
      <c r="F443" s="58">
        <f t="array" ref="F443">+INDEX('OUTCOME MODEL'!$I$10:$N$87,MATCH(Table1[[#This Row],[DRIVERS]]&amp;Table1[[#This Row],[DEMAND]],'OUTCOME MODEL'!$A$10:$A$87&amp;'OUTCOME MODEL'!$B$10:$B$87,0),MATCH(Table1[[#This Row],[CAPACITY]],'OUTCOME MODEL'!$I$9:$N$9))</f>
        <v>0.77300000000000002</v>
      </c>
      <c r="G443" s="60">
        <f t="array" ref="G443">+INDEX('OUTCOME MODEL'!$O$10:$T$87,MATCH(Table1[[#This Row],[DRIVERS]]&amp;Table1[[#This Row],[DEMAND]],'OUTCOME MODEL'!$A$10:$A$87&amp;'OUTCOME MODEL'!$B$10:$B$87,0),MATCH(Table1[[#This Row],[CAPACITY]],'OUTCOME MODEL'!$O$9:$T$9))</f>
        <v>2.5</v>
      </c>
    </row>
    <row r="444" spans="1:7" x14ac:dyDescent="0.35">
      <c r="A444" s="45">
        <v>4</v>
      </c>
      <c r="B444" s="22">
        <v>11</v>
      </c>
      <c r="C444">
        <v>3.5</v>
      </c>
      <c r="D444" s="46">
        <f t="array" ref="D444">+INDEX('OUTCOME MODEL'!$U$10:$Z$87,MATCH(Table1[[#This Row],[DRIVERS]]&amp;Table1[[#This Row],[DEMAND]],'OUTCOME MODEL'!$A$10:$A$87&amp;'OUTCOME MODEL'!$B$10:$B$87,0),MATCH(Table1[[#This Row],[CAPACITY]],'OUTCOME MODEL'!$U$9:$Z$9))</f>
        <v>91.397942844477114</v>
      </c>
      <c r="E444" s="58">
        <f t="array" ref="E444">+INDEX('OUTCOME MODEL'!$C$10:$H$87,MATCH(Table1[[#This Row],[DRIVERS]]&amp;Table1[[#This Row],[DEMAND]],'OUTCOME MODEL'!$A$10:$A$87&amp;'OUTCOME MODEL'!$B$10:$B$87,0),MATCH(Table1[[#This Row],[CAPACITY]],'OUTCOME MODEL'!$C$9:$H$9))</f>
        <v>0.74610565587328259</v>
      </c>
      <c r="F444" s="58">
        <f t="array" ref="F444">+INDEX('OUTCOME MODEL'!$I$10:$N$87,MATCH(Table1[[#This Row],[DRIVERS]]&amp;Table1[[#This Row],[DEMAND]],'OUTCOME MODEL'!$A$10:$A$87&amp;'OUTCOME MODEL'!$B$10:$B$87,0),MATCH(Table1[[#This Row],[CAPACITY]],'OUTCOME MODEL'!$I$9:$N$9))</f>
        <v>0.72199999999999998</v>
      </c>
      <c r="G444" s="60">
        <f t="array" ref="G444">+INDEX('OUTCOME MODEL'!$O$10:$T$87,MATCH(Table1[[#This Row],[DRIVERS]]&amp;Table1[[#This Row],[DEMAND]],'OUTCOME MODEL'!$A$10:$A$87&amp;'OUTCOME MODEL'!$B$10:$B$87,0),MATCH(Table1[[#This Row],[CAPACITY]],'OUTCOME MODEL'!$O$9:$T$9))</f>
        <v>2.611369795556489</v>
      </c>
    </row>
    <row r="445" spans="1:7" x14ac:dyDescent="0.35">
      <c r="A445" s="45">
        <v>4</v>
      </c>
      <c r="B445" s="22">
        <v>12</v>
      </c>
      <c r="C445">
        <v>3.5</v>
      </c>
      <c r="D445" s="46">
        <f t="array" ref="D445">+INDEX('OUTCOME MODEL'!$U$10:$Z$87,MATCH(Table1[[#This Row],[DRIVERS]]&amp;Table1[[#This Row],[DEMAND]],'OUTCOME MODEL'!$A$10:$A$87&amp;'OUTCOME MODEL'!$B$10:$B$87,0),MATCH(Table1[[#This Row],[CAPACITY]],'OUTCOME MODEL'!$U$9:$Z$9))</f>
        <v>93.529281268274644</v>
      </c>
      <c r="E445" s="58">
        <f t="array" ref="E445">+INDEX('OUTCOME MODEL'!$C$10:$H$87,MATCH(Table1[[#This Row],[DRIVERS]]&amp;Table1[[#This Row],[DEMAND]],'OUTCOME MODEL'!$A$10:$A$87&amp;'OUTCOME MODEL'!$B$10:$B$87,0),MATCH(Table1[[#This Row],[CAPACITY]],'OUTCOME MODEL'!$C$9:$H$9))</f>
        <v>0.76350433688387476</v>
      </c>
      <c r="F445" s="58">
        <f t="array" ref="F445">+INDEX('OUTCOME MODEL'!$I$10:$N$87,MATCH(Table1[[#This Row],[DRIVERS]]&amp;Table1[[#This Row],[DEMAND]],'OUTCOME MODEL'!$A$10:$A$87&amp;'OUTCOME MODEL'!$B$10:$B$87,0),MATCH(Table1[[#This Row],[CAPACITY]],'OUTCOME MODEL'!$I$9:$N$9))</f>
        <v>0.70299999999999996</v>
      </c>
      <c r="G445" s="60">
        <f t="array" ref="G445">+INDEX('OUTCOME MODEL'!$O$10:$T$87,MATCH(Table1[[#This Row],[DRIVERS]]&amp;Table1[[#This Row],[DEMAND]],'OUTCOME MODEL'!$A$10:$A$87&amp;'OUTCOME MODEL'!$B$10:$B$87,0),MATCH(Table1[[#This Row],[CAPACITY]],'OUTCOME MODEL'!$O$9:$T$9))</f>
        <v>2.6722651790935616</v>
      </c>
    </row>
    <row r="446" spans="1:7" x14ac:dyDescent="0.35">
      <c r="A446" s="48">
        <v>5</v>
      </c>
      <c r="B446" s="49">
        <v>0</v>
      </c>
      <c r="C446">
        <v>3.5</v>
      </c>
      <c r="D446" s="46">
        <f t="array" ref="D446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46" s="58">
        <f t="array" ref="E446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46" s="58">
        <f t="array" ref="F446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46" s="60">
        <f t="array" ref="G446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47" spans="1:7" x14ac:dyDescent="0.35">
      <c r="A447" s="45">
        <v>5</v>
      </c>
      <c r="B447" s="22">
        <v>1</v>
      </c>
      <c r="C447">
        <v>3.5</v>
      </c>
      <c r="D447" s="46">
        <f t="array" ref="D447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447" s="58">
        <f t="array" ref="E447">+INDEX('OUTCOME MODEL'!$C$10:$H$87,MATCH(Table1[[#This Row],[DRIVERS]]&amp;Table1[[#This Row],[DEMAND]],'OUTCOME MODEL'!$A$10:$A$87&amp;'OUTCOME MODEL'!$B$10:$B$87,0),MATCH(Table1[[#This Row],[CAPACITY]],'OUTCOME MODEL'!$C$9:$H$9))</f>
        <v>8.2212701225455931E-2</v>
      </c>
      <c r="F447" s="58">
        <f t="array" ref="F447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47" s="60">
        <f t="array" ref="G447">+INDEX('OUTCOME MODEL'!$O$10:$T$87,MATCH(Table1[[#This Row],[DRIVERS]]&amp;Table1[[#This Row],[DEMAND]],'OUTCOME MODEL'!$A$10:$A$87&amp;'OUTCOME MODEL'!$B$10:$B$87,0),MATCH(Table1[[#This Row],[CAPACITY]],'OUTCOME MODEL'!$O$9:$T$9))</f>
        <v>0.2</v>
      </c>
    </row>
    <row r="448" spans="1:7" x14ac:dyDescent="0.35">
      <c r="A448" s="45">
        <v>5</v>
      </c>
      <c r="B448" s="22">
        <v>2</v>
      </c>
      <c r="C448">
        <v>3.5</v>
      </c>
      <c r="D448" s="46">
        <f t="array" ref="D448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448" s="58">
        <f t="array" ref="E448">+INDEX('OUTCOME MODEL'!$C$10:$H$87,MATCH(Table1[[#This Row],[DRIVERS]]&amp;Table1[[#This Row],[DEMAND]],'OUTCOME MODEL'!$A$10:$A$87&amp;'OUTCOME MODEL'!$B$10:$B$87,0),MATCH(Table1[[#This Row],[CAPACITY]],'OUTCOME MODEL'!$C$9:$H$9))</f>
        <v>0.16182754668929636</v>
      </c>
      <c r="F448" s="58">
        <f t="array" ref="F448">+INDEX('OUTCOME MODEL'!$I$10:$N$87,MATCH(Table1[[#This Row],[DRIVERS]]&amp;Table1[[#This Row],[DEMAND]],'OUTCOME MODEL'!$A$10:$A$87&amp;'OUTCOME MODEL'!$B$10:$B$87,0),MATCH(Table1[[#This Row],[CAPACITY]],'OUTCOME MODEL'!$I$9:$N$9))</f>
        <v>0.999</v>
      </c>
      <c r="G448" s="60">
        <f t="array" ref="G448">+INDEX('OUTCOME MODEL'!$O$10:$T$87,MATCH(Table1[[#This Row],[DRIVERS]]&amp;Table1[[#This Row],[DEMAND]],'OUTCOME MODEL'!$A$10:$A$87&amp;'OUTCOME MODEL'!$B$10:$B$87,0),MATCH(Table1[[#This Row],[CAPACITY]],'OUTCOME MODEL'!$O$9:$T$9))</f>
        <v>0.4</v>
      </c>
    </row>
    <row r="449" spans="1:7" x14ac:dyDescent="0.35">
      <c r="A449" s="45">
        <v>5</v>
      </c>
      <c r="B449" s="22">
        <v>3</v>
      </c>
      <c r="C449">
        <v>3.5</v>
      </c>
      <c r="D449" s="46">
        <f t="array" ref="D449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49" s="58">
        <f t="array" ref="E449">+INDEX('OUTCOME MODEL'!$C$10:$H$87,MATCH(Table1[[#This Row],[DRIVERS]]&amp;Table1[[#This Row],[DEMAND]],'OUTCOME MODEL'!$A$10:$A$87&amp;'OUTCOME MODEL'!$B$10:$B$87,0),MATCH(Table1[[#This Row],[CAPACITY]],'OUTCOME MODEL'!$C$9:$H$9))</f>
        <v>0.23838446823439852</v>
      </c>
      <c r="F449" s="58">
        <f t="array" ref="F449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449" s="60">
        <f t="array" ref="G449">+INDEX('OUTCOME MODEL'!$O$10:$T$87,MATCH(Table1[[#This Row],[DRIVERS]]&amp;Table1[[#This Row],[DEMAND]],'OUTCOME MODEL'!$A$10:$A$87&amp;'OUTCOME MODEL'!$B$10:$B$87,0),MATCH(Table1[[#This Row],[CAPACITY]],'OUTCOME MODEL'!$O$9:$T$9))</f>
        <v>0.6</v>
      </c>
    </row>
    <row r="450" spans="1:7" x14ac:dyDescent="0.35">
      <c r="A450" s="45">
        <v>5</v>
      </c>
      <c r="B450" s="22">
        <v>4</v>
      </c>
      <c r="C450">
        <v>3.5</v>
      </c>
      <c r="D450" s="46">
        <f t="array" ref="D450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450" s="58">
        <f t="array" ref="E450">+INDEX('OUTCOME MODEL'!$C$10:$H$87,MATCH(Table1[[#This Row],[DRIVERS]]&amp;Table1[[#This Row],[DEMAND]],'OUTCOME MODEL'!$A$10:$A$87&amp;'OUTCOME MODEL'!$B$10:$B$87,0),MATCH(Table1[[#This Row],[CAPACITY]],'OUTCOME MODEL'!$C$9:$H$9))</f>
        <v>0.31855064638115926</v>
      </c>
      <c r="F450" s="58">
        <f t="array" ref="F450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450" s="60">
        <f t="array" ref="G450">+INDEX('OUTCOME MODEL'!$O$10:$T$87,MATCH(Table1[[#This Row],[DRIVERS]]&amp;Table1[[#This Row],[DEMAND]],'OUTCOME MODEL'!$A$10:$A$87&amp;'OUTCOME MODEL'!$B$10:$B$87,0),MATCH(Table1[[#This Row],[CAPACITY]],'OUTCOME MODEL'!$O$9:$T$9))</f>
        <v>0.8</v>
      </c>
    </row>
    <row r="451" spans="1:7" x14ac:dyDescent="0.35">
      <c r="A451" s="45">
        <v>5</v>
      </c>
      <c r="B451" s="22">
        <v>5</v>
      </c>
      <c r="C451">
        <v>3.5</v>
      </c>
      <c r="D451" s="46">
        <f t="array" ref="D451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451" s="58">
        <f t="array" ref="E451">+INDEX('OUTCOME MODEL'!$C$10:$H$87,MATCH(Table1[[#This Row],[DRIVERS]]&amp;Table1[[#This Row],[DEMAND]],'OUTCOME MODEL'!$A$10:$A$87&amp;'OUTCOME MODEL'!$B$10:$B$87,0),MATCH(Table1[[#This Row],[CAPACITY]],'OUTCOME MODEL'!$C$9:$H$9))</f>
        <v>0.38684870445310343</v>
      </c>
      <c r="F451" s="58">
        <f t="array" ref="F451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51" s="60">
        <f t="array" ref="G451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52" spans="1:7" x14ac:dyDescent="0.35">
      <c r="A452" s="45">
        <v>5</v>
      </c>
      <c r="B452" s="22">
        <v>6</v>
      </c>
      <c r="C452">
        <v>3.5</v>
      </c>
      <c r="D452" s="46">
        <f t="array" ref="D452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452" s="58">
        <f t="array" ref="E452">+INDEX('OUTCOME MODEL'!$C$10:$H$87,MATCH(Table1[[#This Row],[DRIVERS]]&amp;Table1[[#This Row],[DEMAND]],'OUTCOME MODEL'!$A$10:$A$87&amp;'OUTCOME MODEL'!$B$10:$B$87,0),MATCH(Table1[[#This Row],[CAPACITY]],'OUTCOME MODEL'!$C$9:$H$9))</f>
        <v>0.45902696030364903</v>
      </c>
      <c r="F452" s="58">
        <f t="array" ref="F452">+INDEX('OUTCOME MODEL'!$I$10:$N$87,MATCH(Table1[[#This Row],[DRIVERS]]&amp;Table1[[#This Row],[DEMAND]],'OUTCOME MODEL'!$A$10:$A$87&amp;'OUTCOME MODEL'!$B$10:$B$87,0),MATCH(Table1[[#This Row],[CAPACITY]],'OUTCOME MODEL'!$I$9:$N$9))</f>
        <v>0.99399999999999999</v>
      </c>
      <c r="G452" s="60">
        <f t="array" ref="G452">+INDEX('OUTCOME MODEL'!$O$10:$T$87,MATCH(Table1[[#This Row],[DRIVERS]]&amp;Table1[[#This Row],[DEMAND]],'OUTCOME MODEL'!$A$10:$A$87&amp;'OUTCOME MODEL'!$B$10:$B$87,0),MATCH(Table1[[#This Row],[CAPACITY]],'OUTCOME MODEL'!$O$9:$T$9))</f>
        <v>1.2</v>
      </c>
    </row>
    <row r="453" spans="1:7" x14ac:dyDescent="0.35">
      <c r="A453" s="45">
        <v>5</v>
      </c>
      <c r="B453" s="22">
        <v>7</v>
      </c>
      <c r="C453">
        <v>3.5</v>
      </c>
      <c r="D453" s="46">
        <f t="array" ref="D453">+INDEX('OUTCOME MODEL'!$U$10:$Z$87,MATCH(Table1[[#This Row],[DRIVERS]]&amp;Table1[[#This Row],[DEMAND]],'OUTCOME MODEL'!$A$10:$A$87&amp;'OUTCOME MODEL'!$B$10:$B$87,0),MATCH(Table1[[#This Row],[CAPACITY]],'OUTCOME MODEL'!$U$9:$Z$9))</f>
        <v>61.250000000000007</v>
      </c>
      <c r="E453" s="58">
        <f t="array" ref="E453">+INDEX('OUTCOME MODEL'!$C$10:$H$87,MATCH(Table1[[#This Row],[DRIVERS]]&amp;Table1[[#This Row],[DEMAND]],'OUTCOME MODEL'!$A$10:$A$87&amp;'OUTCOME MODEL'!$B$10:$B$87,0),MATCH(Table1[[#This Row],[CAPACITY]],'OUTCOME MODEL'!$C$9:$H$9))</f>
        <v>0.52276229531566309</v>
      </c>
      <c r="F453" s="58">
        <f t="array" ref="F453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53" s="60">
        <f t="array" ref="G453">+INDEX('OUTCOME MODEL'!$O$10:$T$87,MATCH(Table1[[#This Row],[DRIVERS]]&amp;Table1[[#This Row],[DEMAND]],'OUTCOME MODEL'!$A$10:$A$87&amp;'OUTCOME MODEL'!$B$10:$B$87,0),MATCH(Table1[[#This Row],[CAPACITY]],'OUTCOME MODEL'!$O$9:$T$9))</f>
        <v>1.4</v>
      </c>
    </row>
    <row r="454" spans="1:7" x14ac:dyDescent="0.35">
      <c r="A454" s="45">
        <v>5</v>
      </c>
      <c r="B454" s="22">
        <v>8</v>
      </c>
      <c r="C454">
        <v>3.5</v>
      </c>
      <c r="D454" s="46">
        <f t="array" ref="D454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454" s="58">
        <f t="array" ref="E454">+INDEX('OUTCOME MODEL'!$C$10:$H$87,MATCH(Table1[[#This Row],[DRIVERS]]&amp;Table1[[#This Row],[DEMAND]],'OUTCOME MODEL'!$A$10:$A$87&amp;'OUTCOME MODEL'!$B$10:$B$87,0),MATCH(Table1[[#This Row],[CAPACITY]],'OUTCOME MODEL'!$C$9:$H$9))</f>
        <v>0.59237965235599288</v>
      </c>
      <c r="F454" s="58">
        <f t="array" ref="F454">+INDEX('OUTCOME MODEL'!$I$10:$N$87,MATCH(Table1[[#This Row],[DRIVERS]]&amp;Table1[[#This Row],[DEMAND]],'OUTCOME MODEL'!$A$10:$A$87&amp;'OUTCOME MODEL'!$B$10:$B$87,0),MATCH(Table1[[#This Row],[CAPACITY]],'OUTCOME MODEL'!$I$9:$N$9))</f>
        <v>0.99299999999999999</v>
      </c>
      <c r="G454" s="60">
        <f t="array" ref="G454">+INDEX('OUTCOME MODEL'!$O$10:$T$87,MATCH(Table1[[#This Row],[DRIVERS]]&amp;Table1[[#This Row],[DEMAND]],'OUTCOME MODEL'!$A$10:$A$87&amp;'OUTCOME MODEL'!$B$10:$B$87,0),MATCH(Table1[[#This Row],[CAPACITY]],'OUTCOME MODEL'!$O$9:$T$9))</f>
        <v>1.6</v>
      </c>
    </row>
    <row r="455" spans="1:7" x14ac:dyDescent="0.35">
      <c r="A455" s="45">
        <v>5</v>
      </c>
      <c r="B455" s="22">
        <v>9</v>
      </c>
      <c r="C455">
        <v>3.5</v>
      </c>
      <c r="D455" s="46">
        <f t="array" ref="D455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455" s="58">
        <f t="array" ref="E455">+INDEX('OUTCOME MODEL'!$C$10:$H$87,MATCH(Table1[[#This Row],[DRIVERS]]&amp;Table1[[#This Row],[DEMAND]],'OUTCOME MODEL'!$A$10:$A$87&amp;'OUTCOME MODEL'!$B$10:$B$87,0),MATCH(Table1[[#This Row],[CAPACITY]],'OUTCOME MODEL'!$C$9:$H$9))</f>
        <v>0.64970506391804694</v>
      </c>
      <c r="F455" s="58">
        <f t="array" ref="F455">+INDEX('OUTCOME MODEL'!$I$10:$N$87,MATCH(Table1[[#This Row],[DRIVERS]]&amp;Table1[[#This Row],[DEMAND]],'OUTCOME MODEL'!$A$10:$A$87&amp;'OUTCOME MODEL'!$B$10:$B$87,0),MATCH(Table1[[#This Row],[CAPACITY]],'OUTCOME MODEL'!$I$9:$N$9))</f>
        <v>0.98699999999999999</v>
      </c>
      <c r="G455" s="60">
        <f t="array" ref="G455">+INDEX('OUTCOME MODEL'!$O$10:$T$87,MATCH(Table1[[#This Row],[DRIVERS]]&amp;Table1[[#This Row],[DEMAND]],'OUTCOME MODEL'!$A$10:$A$87&amp;'OUTCOME MODEL'!$B$10:$B$87,0),MATCH(Table1[[#This Row],[CAPACITY]],'OUTCOME MODEL'!$O$9:$T$9))</f>
        <v>1.8</v>
      </c>
    </row>
    <row r="456" spans="1:7" x14ac:dyDescent="0.35">
      <c r="A456" s="45">
        <v>5</v>
      </c>
      <c r="B456" s="22">
        <v>10</v>
      </c>
      <c r="C456">
        <v>3.5</v>
      </c>
      <c r="D456" s="46">
        <f t="array" ref="D456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456" s="58">
        <f t="array" ref="E456">+INDEX('OUTCOME MODEL'!$C$10:$H$87,MATCH(Table1[[#This Row],[DRIVERS]]&amp;Table1[[#This Row],[DEMAND]],'OUTCOME MODEL'!$A$10:$A$87&amp;'OUTCOME MODEL'!$B$10:$B$87,0),MATCH(Table1[[#This Row],[CAPACITY]],'OUTCOME MODEL'!$C$9:$H$9))</f>
        <v>0.69905218020529203</v>
      </c>
      <c r="F456" s="58">
        <f t="array" ref="F456">+INDEX('OUTCOME MODEL'!$I$10:$N$87,MATCH(Table1[[#This Row],[DRIVERS]]&amp;Table1[[#This Row],[DEMAND]],'OUTCOME MODEL'!$A$10:$A$87&amp;'OUTCOME MODEL'!$B$10:$B$87,0),MATCH(Table1[[#This Row],[CAPACITY]],'OUTCOME MODEL'!$I$9:$N$9))</f>
        <v>0.98499999999999999</v>
      </c>
      <c r="G456" s="60">
        <f t="array" ref="G456">+INDEX('OUTCOME MODEL'!$O$10:$T$87,MATCH(Table1[[#This Row],[DRIVERS]]&amp;Table1[[#This Row],[DEMAND]],'OUTCOME MODEL'!$A$10:$A$87&amp;'OUTCOME MODEL'!$B$10:$B$87,0),MATCH(Table1[[#This Row],[CAPACITY]],'OUTCOME MODEL'!$O$9:$T$9))</f>
        <v>2</v>
      </c>
    </row>
    <row r="457" spans="1:7" x14ac:dyDescent="0.35">
      <c r="A457" s="45">
        <v>5</v>
      </c>
      <c r="B457" s="22">
        <v>11</v>
      </c>
      <c r="C457">
        <v>3.5</v>
      </c>
      <c r="D457" s="46">
        <f t="array" ref="D457">+INDEX('OUTCOME MODEL'!$U$10:$Z$87,MATCH(Table1[[#This Row],[DRIVERS]]&amp;Table1[[#This Row],[DEMAND]],'OUTCOME MODEL'!$A$10:$A$87&amp;'OUTCOME MODEL'!$B$10:$B$87,0),MATCH(Table1[[#This Row],[CAPACITY]],'OUTCOME MODEL'!$U$9:$Z$9))</f>
        <v>96.25</v>
      </c>
      <c r="E457" s="58">
        <f t="array" ref="E457">+INDEX('OUTCOME MODEL'!$C$10:$H$87,MATCH(Table1[[#This Row],[DRIVERS]]&amp;Table1[[#This Row],[DEMAND]],'OUTCOME MODEL'!$A$10:$A$87&amp;'OUTCOME MODEL'!$B$10:$B$87,0),MATCH(Table1[[#This Row],[CAPACITY]],'OUTCOME MODEL'!$C$9:$H$9))</f>
        <v>0.74775502021446594</v>
      </c>
      <c r="F457" s="58">
        <f t="array" ref="F457">+INDEX('OUTCOME MODEL'!$I$10:$N$87,MATCH(Table1[[#This Row],[DRIVERS]]&amp;Table1[[#This Row],[DEMAND]],'OUTCOME MODEL'!$A$10:$A$87&amp;'OUTCOME MODEL'!$B$10:$B$87,0),MATCH(Table1[[#This Row],[CAPACITY]],'OUTCOME MODEL'!$I$9:$N$9))</f>
        <v>0.97199999999999998</v>
      </c>
      <c r="G457" s="60">
        <f t="array" ref="G457">+INDEX('OUTCOME MODEL'!$O$10:$T$87,MATCH(Table1[[#This Row],[DRIVERS]]&amp;Table1[[#This Row],[DEMAND]],'OUTCOME MODEL'!$A$10:$A$87&amp;'OUTCOME MODEL'!$B$10:$B$87,0),MATCH(Table1[[#This Row],[CAPACITY]],'OUTCOME MODEL'!$O$9:$T$9))</f>
        <v>2.2000000000000002</v>
      </c>
    </row>
    <row r="458" spans="1:7" x14ac:dyDescent="0.35">
      <c r="A458" s="45">
        <v>5</v>
      </c>
      <c r="B458" s="22">
        <v>12</v>
      </c>
      <c r="C458">
        <v>3.5</v>
      </c>
      <c r="D458" s="46">
        <f t="array" ref="D458">+INDEX('OUTCOME MODEL'!$U$10:$Z$87,MATCH(Table1[[#This Row],[DRIVERS]]&amp;Table1[[#This Row],[DEMAND]],'OUTCOME MODEL'!$A$10:$A$87&amp;'OUTCOME MODEL'!$B$10:$B$87,0),MATCH(Table1[[#This Row],[CAPACITY]],'OUTCOME MODEL'!$U$9:$Z$9))</f>
        <v>105</v>
      </c>
      <c r="E458" s="58">
        <f t="array" ref="E458">+INDEX('OUTCOME MODEL'!$C$10:$H$87,MATCH(Table1[[#This Row],[DRIVERS]]&amp;Table1[[#This Row],[DEMAND]],'OUTCOME MODEL'!$A$10:$A$87&amp;'OUTCOME MODEL'!$B$10:$B$87,0),MATCH(Table1[[#This Row],[CAPACITY]],'OUTCOME MODEL'!$C$9:$H$9))</f>
        <v>0.78649775951580836</v>
      </c>
      <c r="F458" s="58">
        <f t="array" ref="F458">+INDEX('OUTCOME MODEL'!$I$10:$N$87,MATCH(Table1[[#This Row],[DRIVERS]]&amp;Table1[[#This Row],[DEMAND]],'OUTCOME MODEL'!$A$10:$A$87&amp;'OUTCOME MODEL'!$B$10:$B$87,0),MATCH(Table1[[#This Row],[CAPACITY]],'OUTCOME MODEL'!$I$9:$N$9))</f>
        <v>0.95299999999999996</v>
      </c>
      <c r="G458" s="60">
        <f t="array" ref="G458">+INDEX('OUTCOME MODEL'!$O$10:$T$87,MATCH(Table1[[#This Row],[DRIVERS]]&amp;Table1[[#This Row],[DEMAND]],'OUTCOME MODEL'!$A$10:$A$87&amp;'OUTCOME MODEL'!$B$10:$B$87,0),MATCH(Table1[[#This Row],[CAPACITY]],'OUTCOME MODEL'!$O$9:$T$9))</f>
        <v>2.4</v>
      </c>
    </row>
    <row r="459" spans="1:7" x14ac:dyDescent="0.35">
      <c r="A459" s="48">
        <v>6</v>
      </c>
      <c r="B459" s="49">
        <v>0</v>
      </c>
      <c r="C459">
        <v>3.5</v>
      </c>
      <c r="D459" s="46">
        <f t="array" ref="D459">+INDEX('OUTCOME MODEL'!$U$10:$Z$87,MATCH(Table1[[#This Row],[DRIVERS]]&amp;Table1[[#This Row],[DEMAND]],'OUTCOME MODEL'!$A$10:$A$87&amp;'OUTCOME MODEL'!$B$10:$B$87,0),MATCH(Table1[[#This Row],[CAPACITY]],'OUTCOME MODEL'!$U$9:$Z$9))</f>
        <v>0</v>
      </c>
      <c r="E459" s="58">
        <f t="array" ref="E459">+INDEX('OUTCOME MODEL'!$C$10:$H$87,MATCH(Table1[[#This Row],[DRIVERS]]&amp;Table1[[#This Row],[DEMAND]],'OUTCOME MODEL'!$A$10:$A$87&amp;'OUTCOME MODEL'!$B$10:$B$87,0),MATCH(Table1[[#This Row],[CAPACITY]],'OUTCOME MODEL'!$C$9:$H$9))</f>
        <v>0</v>
      </c>
      <c r="F459" s="58">
        <f t="array" ref="F459">+INDEX('OUTCOME MODEL'!$I$10:$N$87,MATCH(Table1[[#This Row],[DRIVERS]]&amp;Table1[[#This Row],[DEMAND]],'OUTCOME MODEL'!$A$10:$A$87&amp;'OUTCOME MODEL'!$B$10:$B$87,0),MATCH(Table1[[#This Row],[CAPACITY]],'OUTCOME MODEL'!$I$9:$N$9))</f>
        <v>0</v>
      </c>
      <c r="G459" s="60">
        <f t="array" ref="G459">+INDEX('OUTCOME MODEL'!$O$10:$T$87,MATCH(Table1[[#This Row],[DRIVERS]]&amp;Table1[[#This Row],[DEMAND]],'OUTCOME MODEL'!$A$10:$A$87&amp;'OUTCOME MODEL'!$B$10:$B$87,0),MATCH(Table1[[#This Row],[CAPACITY]],'OUTCOME MODEL'!$O$9:$T$9))</f>
        <v>0</v>
      </c>
    </row>
    <row r="460" spans="1:7" x14ac:dyDescent="0.35">
      <c r="A460" s="45">
        <v>6</v>
      </c>
      <c r="B460" s="22">
        <v>1</v>
      </c>
      <c r="C460">
        <v>3.5</v>
      </c>
      <c r="D460" s="46">
        <f t="array" ref="D460">+INDEX('OUTCOME MODEL'!$U$10:$Z$87,MATCH(Table1[[#This Row],[DRIVERS]]&amp;Table1[[#This Row],[DEMAND]],'OUTCOME MODEL'!$A$10:$A$87&amp;'OUTCOME MODEL'!$B$10:$B$87,0),MATCH(Table1[[#This Row],[CAPACITY]],'OUTCOME MODEL'!$U$9:$Z$9))</f>
        <v>8.75</v>
      </c>
      <c r="E460" s="58">
        <f t="array" ref="E460">+INDEX('OUTCOME MODEL'!$C$10:$H$87,MATCH(Table1[[#This Row],[DRIVERS]]&amp;Table1[[#This Row],[DEMAND]],'OUTCOME MODEL'!$A$10:$A$87&amp;'OUTCOME MODEL'!$B$10:$B$87,0),MATCH(Table1[[#This Row],[CAPACITY]],'OUTCOME MODEL'!$C$9:$H$9))</f>
        <v>6.8249951747278534E-2</v>
      </c>
      <c r="F460" s="58">
        <f t="array" ref="F460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60" s="60">
        <f t="array" ref="G460">+INDEX('OUTCOME MODEL'!$O$10:$T$87,MATCH(Table1[[#This Row],[DRIVERS]]&amp;Table1[[#This Row],[DEMAND]],'OUTCOME MODEL'!$A$10:$A$87&amp;'OUTCOME MODEL'!$B$10:$B$87,0),MATCH(Table1[[#This Row],[CAPACITY]],'OUTCOME MODEL'!$O$9:$T$9))</f>
        <v>0.16666666666666666</v>
      </c>
    </row>
    <row r="461" spans="1:7" x14ac:dyDescent="0.35">
      <c r="A461" s="45">
        <v>6</v>
      </c>
      <c r="B461" s="22">
        <v>2</v>
      </c>
      <c r="C461">
        <v>3.5</v>
      </c>
      <c r="D461" s="46">
        <f t="array" ref="D461">+INDEX('OUTCOME MODEL'!$U$10:$Z$87,MATCH(Table1[[#This Row],[DRIVERS]]&amp;Table1[[#This Row],[DEMAND]],'OUTCOME MODEL'!$A$10:$A$87&amp;'OUTCOME MODEL'!$B$10:$B$87,0),MATCH(Table1[[#This Row],[CAPACITY]],'OUTCOME MODEL'!$U$9:$Z$9))</f>
        <v>17.5</v>
      </c>
      <c r="E461" s="58">
        <f t="array" ref="E461">+INDEX('OUTCOME MODEL'!$C$10:$H$87,MATCH(Table1[[#This Row],[DRIVERS]]&amp;Table1[[#This Row],[DEMAND]],'OUTCOME MODEL'!$A$10:$A$87&amp;'OUTCOME MODEL'!$B$10:$B$87,0),MATCH(Table1[[#This Row],[CAPACITY]],'OUTCOME MODEL'!$C$9:$H$9))</f>
        <v>0.13574560769574862</v>
      </c>
      <c r="F461" s="58">
        <f t="array" ref="F461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61" s="60">
        <f t="array" ref="G461">+INDEX('OUTCOME MODEL'!$O$10:$T$87,MATCH(Table1[[#This Row],[DRIVERS]]&amp;Table1[[#This Row],[DEMAND]],'OUTCOME MODEL'!$A$10:$A$87&amp;'OUTCOME MODEL'!$B$10:$B$87,0),MATCH(Table1[[#This Row],[CAPACITY]],'OUTCOME MODEL'!$O$9:$T$9))</f>
        <v>0.33333333333333331</v>
      </c>
    </row>
    <row r="462" spans="1:7" x14ac:dyDescent="0.35">
      <c r="A462" s="45">
        <v>6</v>
      </c>
      <c r="B462" s="22">
        <v>3</v>
      </c>
      <c r="C462">
        <v>3.5</v>
      </c>
      <c r="D462" s="46">
        <f t="array" ref="D462">+INDEX('OUTCOME MODEL'!$U$10:$Z$87,MATCH(Table1[[#This Row],[DRIVERS]]&amp;Table1[[#This Row],[DEMAND]],'OUTCOME MODEL'!$A$10:$A$87&amp;'OUTCOME MODEL'!$B$10:$B$87,0),MATCH(Table1[[#This Row],[CAPACITY]],'OUTCOME MODEL'!$U$9:$Z$9))</f>
        <v>26.25</v>
      </c>
      <c r="E462" s="58">
        <f t="array" ref="E462">+INDEX('OUTCOME MODEL'!$C$10:$H$87,MATCH(Table1[[#This Row],[DRIVERS]]&amp;Table1[[#This Row],[DEMAND]],'OUTCOME MODEL'!$A$10:$A$87&amp;'OUTCOME MODEL'!$B$10:$B$87,0),MATCH(Table1[[#This Row],[CAPACITY]],'OUTCOME MODEL'!$C$9:$H$9))</f>
        <v>0.19991326720183786</v>
      </c>
      <c r="F462" s="58">
        <f t="array" ref="F462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62" s="60">
        <f t="array" ref="G462">+INDEX('OUTCOME MODEL'!$O$10:$T$87,MATCH(Table1[[#This Row],[DRIVERS]]&amp;Table1[[#This Row],[DEMAND]],'OUTCOME MODEL'!$A$10:$A$87&amp;'OUTCOME MODEL'!$B$10:$B$87,0),MATCH(Table1[[#This Row],[CAPACITY]],'OUTCOME MODEL'!$O$9:$T$9))</f>
        <v>0.5</v>
      </c>
    </row>
    <row r="463" spans="1:7" x14ac:dyDescent="0.35">
      <c r="A463" s="45">
        <v>6</v>
      </c>
      <c r="B463" s="22">
        <v>4</v>
      </c>
      <c r="C463">
        <v>3.5</v>
      </c>
      <c r="D463" s="46">
        <f t="array" ref="D463">+INDEX('OUTCOME MODEL'!$U$10:$Z$87,MATCH(Table1[[#This Row],[DRIVERS]]&amp;Table1[[#This Row],[DEMAND]],'OUTCOME MODEL'!$A$10:$A$87&amp;'OUTCOME MODEL'!$B$10:$B$87,0),MATCH(Table1[[#This Row],[CAPACITY]],'OUTCOME MODEL'!$U$9:$Z$9))</f>
        <v>35</v>
      </c>
      <c r="E463" s="58">
        <f t="array" ref="E463">+INDEX('OUTCOME MODEL'!$C$10:$H$87,MATCH(Table1[[#This Row],[DRIVERS]]&amp;Table1[[#This Row],[DEMAND]],'OUTCOME MODEL'!$A$10:$A$87&amp;'OUTCOME MODEL'!$B$10:$B$87,0),MATCH(Table1[[#This Row],[CAPACITY]],'OUTCOME MODEL'!$C$9:$H$9))</f>
        <v>0.26256502277768951</v>
      </c>
      <c r="F463" s="58">
        <f t="array" ref="F463">+INDEX('OUTCOME MODEL'!$I$10:$N$87,MATCH(Table1[[#This Row],[DRIVERS]]&amp;Table1[[#This Row],[DEMAND]],'OUTCOME MODEL'!$A$10:$A$87&amp;'OUTCOME MODEL'!$B$10:$B$87,0),MATCH(Table1[[#This Row],[CAPACITY]],'OUTCOME MODEL'!$I$9:$N$9))</f>
        <v>0.995</v>
      </c>
      <c r="G463" s="60">
        <f t="array" ref="G463">+INDEX('OUTCOME MODEL'!$O$10:$T$87,MATCH(Table1[[#This Row],[DRIVERS]]&amp;Table1[[#This Row],[DEMAND]],'OUTCOME MODEL'!$A$10:$A$87&amp;'OUTCOME MODEL'!$B$10:$B$87,0),MATCH(Table1[[#This Row],[CAPACITY]],'OUTCOME MODEL'!$O$9:$T$9))</f>
        <v>0.66666666666666663</v>
      </c>
    </row>
    <row r="464" spans="1:7" x14ac:dyDescent="0.35">
      <c r="A464" s="45">
        <v>6</v>
      </c>
      <c r="B464" s="22">
        <v>5</v>
      </c>
      <c r="C464">
        <v>3.5</v>
      </c>
      <c r="D464" s="46">
        <f t="array" ref="D464">+INDEX('OUTCOME MODEL'!$U$10:$Z$87,MATCH(Table1[[#This Row],[DRIVERS]]&amp;Table1[[#This Row],[DEMAND]],'OUTCOME MODEL'!$A$10:$A$87&amp;'OUTCOME MODEL'!$B$10:$B$87,0),MATCH(Table1[[#This Row],[CAPACITY]],'OUTCOME MODEL'!$U$9:$Z$9))</f>
        <v>43.75</v>
      </c>
      <c r="E464" s="58">
        <f t="array" ref="E464">+INDEX('OUTCOME MODEL'!$C$10:$H$87,MATCH(Table1[[#This Row],[DRIVERS]]&amp;Table1[[#This Row],[DEMAND]],'OUTCOME MODEL'!$A$10:$A$87&amp;'OUTCOME MODEL'!$B$10:$B$87,0),MATCH(Table1[[#This Row],[CAPACITY]],'OUTCOME MODEL'!$C$9:$H$9))</f>
        <v>0.32439942243408199</v>
      </c>
      <c r="F464" s="58">
        <f t="array" ref="F464">+INDEX('OUTCOME MODEL'!$I$10:$N$87,MATCH(Table1[[#This Row],[DRIVERS]]&amp;Table1[[#This Row],[DEMAND]],'OUTCOME MODEL'!$A$10:$A$87&amp;'OUTCOME MODEL'!$B$10:$B$87,0),MATCH(Table1[[#This Row],[CAPACITY]],'OUTCOME MODEL'!$I$9:$N$9))</f>
        <v>0.999</v>
      </c>
      <c r="G464" s="60">
        <f t="array" ref="G464">+INDEX('OUTCOME MODEL'!$O$10:$T$87,MATCH(Table1[[#This Row],[DRIVERS]]&amp;Table1[[#This Row],[DEMAND]],'OUTCOME MODEL'!$A$10:$A$87&amp;'OUTCOME MODEL'!$B$10:$B$87,0),MATCH(Table1[[#This Row],[CAPACITY]],'OUTCOME MODEL'!$O$9:$T$9))</f>
        <v>0.83333333333333337</v>
      </c>
    </row>
    <row r="465" spans="1:7" x14ac:dyDescent="0.35">
      <c r="A465" s="45">
        <v>6</v>
      </c>
      <c r="B465" s="22">
        <v>6</v>
      </c>
      <c r="C465">
        <v>3.5</v>
      </c>
      <c r="D465" s="46">
        <f t="array" ref="D465">+INDEX('OUTCOME MODEL'!$U$10:$Z$87,MATCH(Table1[[#This Row],[DRIVERS]]&amp;Table1[[#This Row],[DEMAND]],'OUTCOME MODEL'!$A$10:$A$87&amp;'OUTCOME MODEL'!$B$10:$B$87,0),MATCH(Table1[[#This Row],[CAPACITY]],'OUTCOME MODEL'!$U$9:$Z$9))</f>
        <v>52.5</v>
      </c>
      <c r="E465" s="58">
        <f t="array" ref="E465">+INDEX('OUTCOME MODEL'!$C$10:$H$87,MATCH(Table1[[#This Row],[DRIVERS]]&amp;Table1[[#This Row],[DEMAND]],'OUTCOME MODEL'!$A$10:$A$87&amp;'OUTCOME MODEL'!$B$10:$B$87,0),MATCH(Table1[[#This Row],[CAPACITY]],'OUTCOME MODEL'!$C$9:$H$9))</f>
        <v>0.38138076855959241</v>
      </c>
      <c r="F465" s="58">
        <f t="array" ref="F465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465" s="60">
        <f t="array" ref="G465">+INDEX('OUTCOME MODEL'!$O$10:$T$87,MATCH(Table1[[#This Row],[DRIVERS]]&amp;Table1[[#This Row],[DEMAND]],'OUTCOME MODEL'!$A$10:$A$87&amp;'OUTCOME MODEL'!$B$10:$B$87,0),MATCH(Table1[[#This Row],[CAPACITY]],'OUTCOME MODEL'!$O$9:$T$9))</f>
        <v>1</v>
      </c>
    </row>
    <row r="466" spans="1:7" x14ac:dyDescent="0.35">
      <c r="A466" s="45">
        <v>6</v>
      </c>
      <c r="B466" s="22">
        <v>7</v>
      </c>
      <c r="C466">
        <v>3.5</v>
      </c>
      <c r="D466" s="46">
        <f t="array" ref="D466">+INDEX('OUTCOME MODEL'!$U$10:$Z$87,MATCH(Table1[[#This Row],[DRIVERS]]&amp;Table1[[#This Row],[DEMAND]],'OUTCOME MODEL'!$A$10:$A$87&amp;'OUTCOME MODEL'!$B$10:$B$87,0),MATCH(Table1[[#This Row],[CAPACITY]],'OUTCOME MODEL'!$U$9:$Z$9))</f>
        <v>61.25</v>
      </c>
      <c r="E466" s="58">
        <f t="array" ref="E466">+INDEX('OUTCOME MODEL'!$C$10:$H$87,MATCH(Table1[[#This Row],[DRIVERS]]&amp;Table1[[#This Row],[DEMAND]],'OUTCOME MODEL'!$A$10:$A$87&amp;'OUTCOME MODEL'!$B$10:$B$87,0),MATCH(Table1[[#This Row],[CAPACITY]],'OUTCOME MODEL'!$C$9:$H$9))</f>
        <v>0.44421762901909873</v>
      </c>
      <c r="F466" s="58">
        <f t="array" ref="F466">+INDEX('OUTCOME MODEL'!$I$10:$N$87,MATCH(Table1[[#This Row],[DRIVERS]]&amp;Table1[[#This Row],[DEMAND]],'OUTCOME MODEL'!$A$10:$A$87&amp;'OUTCOME MODEL'!$B$10:$B$87,0),MATCH(Table1[[#This Row],[CAPACITY]],'OUTCOME MODEL'!$I$9:$N$9))</f>
        <v>0.997</v>
      </c>
      <c r="G466" s="60">
        <f t="array" ref="G466">+INDEX('OUTCOME MODEL'!$O$10:$T$87,MATCH(Table1[[#This Row],[DRIVERS]]&amp;Table1[[#This Row],[DEMAND]],'OUTCOME MODEL'!$A$10:$A$87&amp;'OUTCOME MODEL'!$B$10:$B$87,0),MATCH(Table1[[#This Row],[CAPACITY]],'OUTCOME MODEL'!$O$9:$T$9))</f>
        <v>1.1666666666666667</v>
      </c>
    </row>
    <row r="467" spans="1:7" x14ac:dyDescent="0.35">
      <c r="A467" s="45">
        <v>6</v>
      </c>
      <c r="B467" s="22">
        <v>8</v>
      </c>
      <c r="C467">
        <v>3.5</v>
      </c>
      <c r="D467" s="46">
        <f t="array" ref="D467">+INDEX('OUTCOME MODEL'!$U$10:$Z$87,MATCH(Table1[[#This Row],[DRIVERS]]&amp;Table1[[#This Row],[DEMAND]],'OUTCOME MODEL'!$A$10:$A$87&amp;'OUTCOME MODEL'!$B$10:$B$87,0),MATCH(Table1[[#This Row],[CAPACITY]],'OUTCOME MODEL'!$U$9:$Z$9))</f>
        <v>70</v>
      </c>
      <c r="E467" s="58">
        <f t="array" ref="E467">+INDEX('OUTCOME MODEL'!$C$10:$H$87,MATCH(Table1[[#This Row],[DRIVERS]]&amp;Table1[[#This Row],[DEMAND]],'OUTCOME MODEL'!$A$10:$A$87&amp;'OUTCOME MODEL'!$B$10:$B$87,0),MATCH(Table1[[#This Row],[CAPACITY]],'OUTCOME MODEL'!$C$9:$H$9))</f>
        <v>0.49745074289605107</v>
      </c>
      <c r="F467" s="58">
        <f t="array" ref="F467">+INDEX('OUTCOME MODEL'!$I$10:$N$87,MATCH(Table1[[#This Row],[DRIVERS]]&amp;Table1[[#This Row],[DEMAND]],'OUTCOME MODEL'!$A$10:$A$87&amp;'OUTCOME MODEL'!$B$10:$B$87,0),MATCH(Table1[[#This Row],[CAPACITY]],'OUTCOME MODEL'!$I$9:$N$9))</f>
        <v>0.998</v>
      </c>
      <c r="G467" s="60">
        <f t="array" ref="G467">+INDEX('OUTCOME MODEL'!$O$10:$T$87,MATCH(Table1[[#This Row],[DRIVERS]]&amp;Table1[[#This Row],[DEMAND]],'OUTCOME MODEL'!$A$10:$A$87&amp;'OUTCOME MODEL'!$B$10:$B$87,0),MATCH(Table1[[#This Row],[CAPACITY]],'OUTCOME MODEL'!$O$9:$T$9))</f>
        <v>1.3333333333333333</v>
      </c>
    </row>
    <row r="468" spans="1:7" x14ac:dyDescent="0.35">
      <c r="A468" s="45">
        <v>6</v>
      </c>
      <c r="B468" s="22">
        <v>9</v>
      </c>
      <c r="C468">
        <v>3.5</v>
      </c>
      <c r="D468" s="46">
        <f t="array" ref="D468">+INDEX('OUTCOME MODEL'!$U$10:$Z$87,MATCH(Table1[[#This Row],[DRIVERS]]&amp;Table1[[#This Row],[DEMAND]],'OUTCOME MODEL'!$A$10:$A$87&amp;'OUTCOME MODEL'!$B$10:$B$87,0),MATCH(Table1[[#This Row],[CAPACITY]],'OUTCOME MODEL'!$U$9:$Z$9))</f>
        <v>78.75</v>
      </c>
      <c r="E468" s="58">
        <f t="array" ref="E468">+INDEX('OUTCOME MODEL'!$C$10:$H$87,MATCH(Table1[[#This Row],[DRIVERS]]&amp;Table1[[#This Row],[DEMAND]],'OUTCOME MODEL'!$A$10:$A$87&amp;'OUTCOME MODEL'!$B$10:$B$87,0),MATCH(Table1[[#This Row],[CAPACITY]],'OUTCOME MODEL'!$C$9:$H$9))</f>
        <v>0.54916723362445652</v>
      </c>
      <c r="F468" s="58">
        <f t="array" ref="F468">+INDEX('OUTCOME MODEL'!$I$10:$N$87,MATCH(Table1[[#This Row],[DRIVERS]]&amp;Table1[[#This Row],[DEMAND]],'OUTCOME MODEL'!$A$10:$A$87&amp;'OUTCOME MODEL'!$B$10:$B$87,0),MATCH(Table1[[#This Row],[CAPACITY]],'OUTCOME MODEL'!$I$9:$N$9))</f>
        <v>0.99199999999999999</v>
      </c>
      <c r="G468" s="60">
        <f t="array" ref="G468">+INDEX('OUTCOME MODEL'!$O$10:$T$87,MATCH(Table1[[#This Row],[DRIVERS]]&amp;Table1[[#This Row],[DEMAND]],'OUTCOME MODEL'!$A$10:$A$87&amp;'OUTCOME MODEL'!$B$10:$B$87,0),MATCH(Table1[[#This Row],[CAPACITY]],'OUTCOME MODEL'!$O$9:$T$9))</f>
        <v>1.5</v>
      </c>
    </row>
    <row r="469" spans="1:7" x14ac:dyDescent="0.35">
      <c r="A469" s="45">
        <v>6</v>
      </c>
      <c r="B469" s="22">
        <v>10</v>
      </c>
      <c r="C469">
        <v>3.5</v>
      </c>
      <c r="D469" s="46">
        <f t="array" ref="D469">+INDEX('OUTCOME MODEL'!$U$10:$Z$87,MATCH(Table1[[#This Row],[DRIVERS]]&amp;Table1[[#This Row],[DEMAND]],'OUTCOME MODEL'!$A$10:$A$87&amp;'OUTCOME MODEL'!$B$10:$B$87,0),MATCH(Table1[[#This Row],[CAPACITY]],'OUTCOME MODEL'!$U$9:$Z$9))</f>
        <v>87.5</v>
      </c>
      <c r="E469" s="58">
        <f t="array" ref="E469">+INDEX('OUTCOME MODEL'!$C$10:$H$87,MATCH(Table1[[#This Row],[DRIVERS]]&amp;Table1[[#This Row],[DEMAND]],'OUTCOME MODEL'!$A$10:$A$87&amp;'OUTCOME MODEL'!$B$10:$B$87,0),MATCH(Table1[[#This Row],[CAPACITY]],'OUTCOME MODEL'!$C$9:$H$9))</f>
        <v>0.59797060578034167</v>
      </c>
      <c r="F469" s="58">
        <f t="array" ref="F469">+INDEX('OUTCOME MODEL'!$I$10:$N$87,MATCH(Table1[[#This Row],[DRIVERS]]&amp;Table1[[#This Row],[DEMAND]],'OUTCOME MODEL'!$A$10:$A$87&amp;'OUTCOME MODEL'!$B$10:$B$87,0),MATCH(Table1[[#This Row],[CAPACITY]],'OUTCOME MODEL'!$I$9:$N$9))</f>
        <v>0.99099999999999999</v>
      </c>
      <c r="G469" s="60">
        <f t="array" ref="G469">+INDEX('OUTCOME MODEL'!$O$10:$T$87,MATCH(Table1[[#This Row],[DRIVERS]]&amp;Table1[[#This Row],[DEMAND]],'OUTCOME MODEL'!$A$10:$A$87&amp;'OUTCOME MODEL'!$B$10:$B$87,0),MATCH(Table1[[#This Row],[CAPACITY]],'OUTCOME MODEL'!$O$9:$T$9))</f>
        <v>1.6666666666666667</v>
      </c>
    </row>
    <row r="470" spans="1:7" x14ac:dyDescent="0.35">
      <c r="A470" s="45">
        <v>6</v>
      </c>
      <c r="B470" s="22">
        <v>11</v>
      </c>
      <c r="C470">
        <v>3.5</v>
      </c>
      <c r="D470" s="46">
        <f t="array" ref="D470">+INDEX('OUTCOME MODEL'!$U$10:$Z$87,MATCH(Table1[[#This Row],[DRIVERS]]&amp;Table1[[#This Row],[DEMAND]],'OUTCOME MODEL'!$A$10:$A$87&amp;'OUTCOME MODEL'!$B$10:$B$87,0),MATCH(Table1[[#This Row],[CAPACITY]],'OUTCOME MODEL'!$U$9:$Z$9))</f>
        <v>96.25</v>
      </c>
      <c r="E470" s="58">
        <f t="array" ref="E470">+INDEX('OUTCOME MODEL'!$C$10:$H$87,MATCH(Table1[[#This Row],[DRIVERS]]&amp;Table1[[#This Row],[DEMAND]],'OUTCOME MODEL'!$A$10:$A$87&amp;'OUTCOME MODEL'!$B$10:$B$87,0),MATCH(Table1[[#This Row],[CAPACITY]],'OUTCOME MODEL'!$C$9:$H$9))</f>
        <v>0.64295900120708327</v>
      </c>
      <c r="F470" s="58">
        <f t="array" ref="F470">+INDEX('OUTCOME MODEL'!$I$10:$N$87,MATCH(Table1[[#This Row],[DRIVERS]]&amp;Table1[[#This Row],[DEMAND]],'OUTCOME MODEL'!$A$10:$A$87&amp;'OUTCOME MODEL'!$B$10:$B$87,0),MATCH(Table1[[#This Row],[CAPACITY]],'OUTCOME MODEL'!$I$9:$N$9))</f>
        <v>0.98799999999999999</v>
      </c>
      <c r="G470" s="60">
        <f t="array" ref="G470">+INDEX('OUTCOME MODEL'!$O$10:$T$87,MATCH(Table1[[#This Row],[DRIVERS]]&amp;Table1[[#This Row],[DEMAND]],'OUTCOME MODEL'!$A$10:$A$87&amp;'OUTCOME MODEL'!$B$10:$B$87,0),MATCH(Table1[[#This Row],[CAPACITY]],'OUTCOME MODEL'!$O$9:$T$9))</f>
        <v>1.8333333333333333</v>
      </c>
    </row>
    <row r="471" spans="1:7" x14ac:dyDescent="0.35">
      <c r="A471" s="45">
        <v>6</v>
      </c>
      <c r="B471" s="22">
        <v>12</v>
      </c>
      <c r="C471">
        <v>3.5</v>
      </c>
      <c r="D471" s="46">
        <f t="array" ref="D471">+INDEX('OUTCOME MODEL'!$U$10:$Z$87,MATCH(Table1[[#This Row],[DRIVERS]]&amp;Table1[[#This Row],[DEMAND]],'OUTCOME MODEL'!$A$10:$A$87&amp;'OUTCOME MODEL'!$B$10:$B$87,0),MATCH(Table1[[#This Row],[CAPACITY]],'OUTCOME MODEL'!$U$9:$Z$9))</f>
        <v>105</v>
      </c>
      <c r="E471" s="58">
        <f t="array" ref="E471">+INDEX('OUTCOME MODEL'!$C$10:$H$87,MATCH(Table1[[#This Row],[DRIVERS]]&amp;Table1[[#This Row],[DEMAND]],'OUTCOME MODEL'!$A$10:$A$87&amp;'OUTCOME MODEL'!$B$10:$B$87,0),MATCH(Table1[[#This Row],[CAPACITY]],'OUTCOME MODEL'!$C$9:$H$9))</f>
        <v>0.69330084729975927</v>
      </c>
      <c r="F471" s="58">
        <f t="array" ref="F471">+INDEX('OUTCOME MODEL'!$I$10:$N$87,MATCH(Table1[[#This Row],[DRIVERS]]&amp;Table1[[#This Row],[DEMAND]],'OUTCOME MODEL'!$A$10:$A$87&amp;'OUTCOME MODEL'!$B$10:$B$87,0),MATCH(Table1[[#This Row],[CAPACITY]],'OUTCOME MODEL'!$I$9:$N$9))</f>
        <v>0.98699999999999999</v>
      </c>
      <c r="G471" s="60">
        <f t="array" ref="G471">+INDEX('OUTCOME MODEL'!$O$10:$T$87,MATCH(Table1[[#This Row],[DRIVERS]]&amp;Table1[[#This Row],[DEMAND]],'OUTCOME MODEL'!$A$10:$A$87&amp;'OUTCOME MODEL'!$B$10:$B$87,0),MATCH(Table1[[#This Row],[CAPACITY]],'OUTCOME MODEL'!$O$9:$T$9))</f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OUTCOME MODEL</vt:lpstr>
      <vt:lpstr>OUTCOME (DB Table)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Balcells</dc:creator>
  <cp:lastModifiedBy>Subham Sinha</cp:lastModifiedBy>
  <dcterms:created xsi:type="dcterms:W3CDTF">2025-08-13T09:16:09Z</dcterms:created>
  <dcterms:modified xsi:type="dcterms:W3CDTF">2026-04-01T23:48:27Z</dcterms:modified>
</cp:coreProperties>
</file>